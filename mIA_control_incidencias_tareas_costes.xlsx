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nriq\Downloads\"/>
    </mc:Choice>
  </mc:AlternateContent>
  <xr:revisionPtr revIDLastSave="0" documentId="13_ncr:1_{F90611FF-BF15-4C48-9A17-12859DCEA53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dice" sheetId="1" r:id="rId1"/>
    <sheet name="Dashboard" sheetId="2" r:id="rId2"/>
    <sheet name="Arquitectura" sheetId="3" r:id="rId3"/>
    <sheet name="Login y Autenticación" sheetId="4" r:id="rId4"/>
    <sheet name="Correo" sheetId="5" r:id="rId5"/>
    <sheet name="Empleados" sheetId="6" r:id="rId6"/>
    <sheet name="Boletines TT" sheetId="7" r:id="rId7"/>
    <sheet name="Turnos" sheetId="8" r:id="rId8"/>
    <sheet name="Fichajes" sheetId="9" r:id="rId9"/>
    <sheet name="Nominas" sheetId="10" r:id="rId10"/>
    <sheet name="Vacaciones y Asuntos Propios" sheetId="11" r:id="rId11"/>
    <sheet name="Absentismo" sheetId="12" r:id="rId12"/>
    <sheet name="Informes y Reporting" sheetId="13" r:id="rId13"/>
    <sheet name="Tratamiento de Adjuntos" sheetId="14" r:id="rId14"/>
    <sheet name="Noticias y Newsletter" sheetId="15" r:id="rId15"/>
    <sheet name="Gobernanza" sheetId="16" r:id="rId16"/>
    <sheet name="Auditorias" sheetId="17" r:id="rId17"/>
    <sheet name="Seguridad" sheetId="18" r:id="rId18"/>
    <sheet name="Preproduccion" sheetId="19" r:id="rId19"/>
    <sheet name="Produccion" sheetId="20" r:id="rId20"/>
    <sheet name="Informe de Costes" sheetId="21" r:id="rId21"/>
    <sheet name="Estimaciones de Horas" sheetId="22" r:id="rId22"/>
    <sheet name="Costes Azure" sheetId="23" r:id="rId23"/>
    <sheet name="Mundo 2D" sheetId="24" r:id="rId24"/>
    <sheet name="Mundo 3D" sheetId="25" r:id="rId25"/>
    <sheet name="Holograma" sheetId="26" r:id="rId26"/>
    <sheet name="mIA-Desktop" sheetId="27" r:id="rId27"/>
    <sheet name="Multiidioma" sheetId="28" r:id="rId28"/>
  </sheets>
  <calcPr calcId="181029"/>
</workbook>
</file>

<file path=xl/calcChain.xml><?xml version="1.0" encoding="utf-8"?>
<calcChain xmlns="http://schemas.openxmlformats.org/spreadsheetml/2006/main">
  <c r="G39" i="2" l="1"/>
  <c r="F39" i="2"/>
  <c r="E39" i="2"/>
  <c r="D39" i="2"/>
  <c r="C39" i="2"/>
  <c r="B39" i="2"/>
  <c r="G38" i="2"/>
  <c r="F38" i="2"/>
  <c r="E38" i="2"/>
  <c r="D38" i="2"/>
  <c r="C38" i="2"/>
  <c r="B38" i="2"/>
  <c r="G37" i="2"/>
  <c r="F37" i="2"/>
  <c r="E37" i="2"/>
  <c r="D37" i="2"/>
  <c r="C37" i="2"/>
  <c r="B37" i="2"/>
  <c r="G36" i="2"/>
  <c r="F36" i="2"/>
  <c r="E36" i="2"/>
  <c r="D36" i="2"/>
  <c r="C36" i="2"/>
  <c r="B36" i="2"/>
  <c r="G35" i="2"/>
  <c r="F35" i="2"/>
  <c r="E35" i="2"/>
  <c r="D35" i="2"/>
  <c r="C35" i="2"/>
  <c r="B35" i="2"/>
  <c r="G34" i="2"/>
  <c r="F34" i="2"/>
  <c r="E34" i="2"/>
  <c r="D34" i="2"/>
  <c r="C34" i="2"/>
  <c r="B34" i="2"/>
  <c r="G33" i="2"/>
  <c r="F33" i="2"/>
  <c r="E33" i="2"/>
  <c r="D33" i="2"/>
  <c r="C33" i="2"/>
  <c r="B33" i="2"/>
  <c r="G32" i="2"/>
  <c r="F32" i="2"/>
  <c r="E32" i="2"/>
  <c r="D32" i="2"/>
  <c r="C32" i="2"/>
  <c r="B32" i="2"/>
  <c r="G31" i="2"/>
  <c r="F31" i="2"/>
  <c r="E31" i="2"/>
  <c r="D31" i="2"/>
  <c r="C31" i="2"/>
  <c r="B31" i="2"/>
  <c r="G30" i="2"/>
  <c r="F30" i="2"/>
  <c r="E30" i="2"/>
  <c r="D30" i="2"/>
  <c r="C30" i="2"/>
  <c r="B30" i="2"/>
  <c r="G29" i="2"/>
  <c r="F29" i="2"/>
  <c r="E29" i="2"/>
  <c r="D29" i="2"/>
  <c r="C29" i="2"/>
  <c r="B29" i="2"/>
  <c r="G28" i="2"/>
  <c r="F28" i="2"/>
  <c r="E28" i="2"/>
  <c r="D28" i="2"/>
  <c r="C28" i="2"/>
  <c r="B28" i="2"/>
  <c r="G27" i="2"/>
  <c r="F27" i="2"/>
  <c r="E27" i="2"/>
  <c r="D27" i="2"/>
  <c r="C27" i="2"/>
  <c r="B27" i="2"/>
  <c r="G26" i="2"/>
  <c r="F26" i="2"/>
  <c r="E26" i="2"/>
  <c r="D26" i="2"/>
  <c r="C26" i="2"/>
  <c r="B26" i="2"/>
  <c r="G25" i="2"/>
  <c r="F25" i="2"/>
  <c r="E25" i="2"/>
  <c r="D25" i="2"/>
  <c r="C25" i="2"/>
  <c r="B25" i="2"/>
  <c r="G24" i="2"/>
  <c r="F24" i="2"/>
  <c r="E24" i="2"/>
  <c r="D24" i="2"/>
  <c r="C24" i="2"/>
  <c r="B24" i="2"/>
  <c r="G23" i="2"/>
  <c r="F23" i="2"/>
  <c r="E23" i="2"/>
  <c r="D23" i="2"/>
  <c r="C23" i="2"/>
  <c r="B23" i="2"/>
  <c r="G22" i="2"/>
  <c r="F22" i="2"/>
  <c r="E22" i="2"/>
  <c r="D22" i="2"/>
  <c r="C22" i="2"/>
  <c r="B22" i="2"/>
  <c r="G21" i="2"/>
  <c r="F21" i="2"/>
  <c r="E21" i="2"/>
  <c r="D21" i="2"/>
  <c r="C21" i="2"/>
  <c r="B21" i="2"/>
  <c r="G20" i="2"/>
  <c r="F20" i="2"/>
  <c r="E20" i="2"/>
  <c r="D20" i="2"/>
  <c r="C20" i="2"/>
  <c r="B20" i="2"/>
  <c r="G19" i="2"/>
  <c r="F19" i="2"/>
  <c r="E19" i="2"/>
  <c r="D19" i="2"/>
  <c r="C19" i="2"/>
  <c r="B19" i="2"/>
  <c r="G18" i="2"/>
  <c r="F18" i="2"/>
  <c r="E18" i="2"/>
  <c r="D18" i="2"/>
  <c r="C18" i="2"/>
  <c r="B18" i="2"/>
  <c r="G17" i="2"/>
  <c r="F17" i="2"/>
  <c r="E17" i="2"/>
  <c r="D17" i="2"/>
  <c r="C17" i="2"/>
  <c r="B17" i="2"/>
  <c r="G16" i="2"/>
  <c r="F16" i="2"/>
  <c r="E16" i="2"/>
  <c r="D16" i="2"/>
  <c r="C16" i="2"/>
  <c r="B16" i="2"/>
  <c r="G15" i="2"/>
  <c r="F15" i="2"/>
  <c r="E15" i="2"/>
  <c r="D15" i="2"/>
  <c r="C15" i="2"/>
  <c r="B15" i="2"/>
  <c r="B11" i="2"/>
  <c r="E10" i="2" s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H29" i="2" l="1"/>
  <c r="H19" i="2"/>
  <c r="H18" i="2"/>
  <c r="B7" i="2"/>
  <c r="E6" i="2" s="1"/>
  <c r="H20" i="2"/>
  <c r="H22" i="2"/>
  <c r="H32" i="2"/>
  <c r="H34" i="2"/>
  <c r="H23" i="2"/>
  <c r="H36" i="2"/>
  <c r="H38" i="2"/>
  <c r="H26" i="2"/>
  <c r="H30" i="2"/>
  <c r="H15" i="2"/>
  <c r="B6" i="2"/>
  <c r="E5" i="2" s="1"/>
  <c r="H17" i="2"/>
  <c r="H24" i="2"/>
  <c r="H31" i="2"/>
  <c r="H33" i="2"/>
  <c r="B5" i="2"/>
  <c r="B9" i="2"/>
  <c r="E8" i="2" s="1"/>
  <c r="H21" i="2"/>
  <c r="H28" i="2"/>
  <c r="H35" i="2"/>
  <c r="H37" i="2"/>
  <c r="B8" i="2"/>
  <c r="E7" i="2" s="1"/>
  <c r="H16" i="2"/>
  <c r="H25" i="2"/>
  <c r="H27" i="2"/>
  <c r="H39" i="2"/>
  <c r="B10" i="2"/>
  <c r="E9" i="2" s="1"/>
  <c r="F6" i="2" l="1"/>
  <c r="F5" i="2"/>
  <c r="F10" i="2"/>
  <c r="F7" i="2"/>
  <c r="F9" i="2"/>
  <c r="F8" i="2"/>
</calcChain>
</file>

<file path=xl/sharedStrings.xml><?xml version="1.0" encoding="utf-8"?>
<sst xmlns="http://schemas.openxmlformats.org/spreadsheetml/2006/main" count="1265" uniqueCount="598">
  <si>
    <t>mIA · Índice de seguimiento</t>
  </si>
  <si>
    <t>Control central de incidencias, tareas, arquitectura, costes y estimaciones. Las tareas iniciales están sembradas desde los documentos aportados; revisa las que figuran «Por validar».</t>
  </si>
  <si>
    <t>Sección</t>
  </si>
  <si>
    <t>Qué contiene</t>
  </si>
  <si>
    <t>N.º de tareas</t>
  </si>
  <si>
    <t>Pendientes / por validar</t>
  </si>
  <si>
    <t>Ir a sección</t>
  </si>
  <si>
    <t>Dashboard</t>
  </si>
  <si>
    <t>Resumen global de tareas, estados y costes</t>
  </si>
  <si>
    <t>—</t>
  </si>
  <si>
    <t>Abrir</t>
  </si>
  <si>
    <t>Arquitectura</t>
  </si>
  <si>
    <t>Diagramas, componentes, flujo e incidencias de arquitectura</t>
  </si>
  <si>
    <t>Login y Autenticación</t>
  </si>
  <si>
    <t>Login, Entra ID, JWT, permisos y sesiones</t>
  </si>
  <si>
    <t>Correo</t>
  </si>
  <si>
    <t>Integración de correo, Graph y salvaguardas de envío</t>
  </si>
  <si>
    <t>Empleados</t>
  </si>
  <si>
    <t>Altas, edición, sincronización y datos de empleados</t>
  </si>
  <si>
    <t>Boletines TT</t>
  </si>
  <si>
    <t>Tareas relacionadas con boletines TT</t>
  </si>
  <si>
    <t>Turnos</t>
  </si>
  <si>
    <t>Gestión e integración de turnos</t>
  </si>
  <si>
    <t>Fichajes</t>
  </si>
  <si>
    <t>Fichajes y validaciones asociadas</t>
  </si>
  <si>
    <t>Nominas</t>
  </si>
  <si>
    <t>Procesos e información de nóminas</t>
  </si>
  <si>
    <t>Vacaciones y Asuntos Propios</t>
  </si>
  <si>
    <t>Solicitudes, saldos y procesos relacionados</t>
  </si>
  <si>
    <t>Absentismo</t>
  </si>
  <si>
    <t>Ausencias, reglas y reporting</t>
  </si>
  <si>
    <t>Informes y Reporting</t>
  </si>
  <si>
    <t>Generación y validación de informes</t>
  </si>
  <si>
    <t>Tratamiento de Adjuntos</t>
  </si>
  <si>
    <t>Carga, análisis, privacidad y tratamiento de adjuntos</t>
  </si>
  <si>
    <t>Noticias y Newsletter</t>
  </si>
  <si>
    <t>Noticias, boletines y newsletter</t>
  </si>
  <si>
    <t>Gobernanza</t>
  </si>
  <si>
    <t>Gobernanza, cambios, decisiones y proceso operativo</t>
  </si>
  <si>
    <t>Auditorias</t>
  </si>
  <si>
    <t>Auditorías, evidencias y remediaciones</t>
  </si>
  <si>
    <t>Seguridad</t>
  </si>
  <si>
    <t>Seguridad de aplicación, datos, secretos y controles</t>
  </si>
  <si>
    <t>Preproduccion</t>
  </si>
  <si>
    <t>Pruebas y criterios de salida a preproducción</t>
  </si>
  <si>
    <t>Produccion</t>
  </si>
  <si>
    <t>Despliegue, comprobaciones y operación en producción</t>
  </si>
  <si>
    <t>Informe de Costes</t>
  </si>
  <si>
    <t>Tareas de medición, control y optimización de costes</t>
  </si>
  <si>
    <t>Estimaciones de Horas</t>
  </si>
  <si>
    <t>Validación de alcance y horas presupuestadas</t>
  </si>
  <si>
    <t>Costes Azure</t>
  </si>
  <si>
    <t>Escenarios de Azure, LLM, voz y servicios planificados</t>
  </si>
  <si>
    <t>Ir a pestaña</t>
  </si>
  <si>
    <t>Mundo 2D</t>
  </si>
  <si>
    <t>Interfaz 2D: flujo de conversación, streaming y UX</t>
  </si>
  <si>
    <t>Mundo 3D</t>
  </si>
  <si>
    <t>Avatar 3D, voz, streaming, rendimiento y permisos</t>
  </si>
  <si>
    <t>Holograma</t>
  </si>
  <si>
    <t>Experiencia holográfica, dispositivo, privacidad y operación</t>
  </si>
  <si>
    <t>mIA-Desktop</t>
  </si>
  <si>
    <t>Aplicación de escritorio, autenticación, actualización y seguridad</t>
  </si>
  <si>
    <t>Multiidioma</t>
  </si>
  <si>
    <t>Idiomas, recursos de traducción, respuestas, documentos y voz</t>
  </si>
  <si>
    <t>mIA · Dashboard de seguimiento</t>
  </si>
  <si>
    <t>Resumen automático de las tablas de las pestañas de trabajo. Cambia el estado en cada incidencia y el resumen se recalculará al abrir en Excel.</t>
  </si>
  <si>
    <t>Indicador</t>
  </si>
  <si>
    <t>Valor</t>
  </si>
  <si>
    <t>Estado</t>
  </si>
  <si>
    <t>Total</t>
  </si>
  <si>
    <t>% del total</t>
  </si>
  <si>
    <t>Total de incidencias/tareas</t>
  </si>
  <si>
    <t>Pendiente</t>
  </si>
  <si>
    <t>En curso</t>
  </si>
  <si>
    <t>Bloqueado</t>
  </si>
  <si>
    <t>Por validar</t>
  </si>
  <si>
    <t>Resuelto</t>
  </si>
  <si>
    <t>Descartado</t>
  </si>
  <si>
    <t>Nota: el estado inicial de las tareas es una propuesta basada en las presentaciones/documentos, no una confirmación del estado real del repositorio o del trabajo ya realizado.</t>
  </si>
  <si>
    <t>Tareas</t>
  </si>
  <si>
    <t>% resuelto</t>
  </si>
  <si>
    <t>Costes estimados de referencia</t>
  </si>
  <si>
    <t>Concepto</t>
  </si>
  <si>
    <t>Importe</t>
  </si>
  <si>
    <t>Unidad / nota</t>
  </si>
  <si>
    <t>Presupuesto Parte A</t>
  </si>
  <si>
    <t>€ sin IVA · 1.120 h × 45 €/h</t>
  </si>
  <si>
    <t>Presupuesto Parte B</t>
  </si>
  <si>
    <t>€ sin IVA · 150 h × 45 €/h, facturada aparte</t>
  </si>
  <si>
    <t>Total estimado desarrollo</t>
  </si>
  <si>
    <t>€ sin IVA · 1.270 h</t>
  </si>
  <si>
    <t>Infraestructura Azure</t>
  </si>
  <si>
    <t>€/mes, estimación para 1–10 usuarios</t>
  </si>
  <si>
    <t>Escenario mensual 10 usuarios mixtos</t>
  </si>
  <si>
    <t>€/mes, incluye LLM y voz modelados</t>
  </si>
  <si>
    <t>mIA · Arquitectura y esquemas</t>
  </si>
  <si>
    <t>↩ Índice</t>
  </si>
  <si>
    <t>Esquema funcional reconstruido y láminas originales de la presentación de arquitectura/seguridad aportada. Los esquemas visuales se incluyen como referencia; la lista de tareas sigue siendo editable.</t>
  </si>
  <si>
    <t>FLUJO PRINCIPAL DE UNA PETICIÓN</t>
  </si>
  <si>
    <t>1 · Usuario / Frontend</t>
  </si>
  <si>
    <t>Interfaces 2D, 3D y holograma; MSAL.js; token Bearer</t>
  </si>
  <si>
    <t>↓</t>
  </si>
  <si>
    <t>2 · Identidad</t>
  </si>
  <si>
    <t>Entra ID · validación JWT (firma RS256/JWKS, aud, iss, exp) · roles/permisos</t>
  </si>
  <si>
    <t>3 · API / Backend</t>
  </si>
  <si>
    <t>FastAPI · validación Pydantic · request_id · control de sesión por (session_id, user_id)</t>
  </si>
  <si>
    <t>4 · Orquestador</t>
  </si>
  <si>
    <t>Enrutado determinista por dominio · herramientas autorizadas</t>
  </si>
  <si>
    <t>5 · Privacy Gateway</t>
  </si>
  <si>
    <t>Presidio/tokenización de PII antes de llamada al LLM (depende de configuración enabled=true)</t>
  </si>
  <si>
    <t>6 · Proveedor LLM</t>
  </si>
  <si>
    <t>OpenAI / Azure OpenAI · máximo 8 rondas de herramientas · presupuesto de 120 s/turno</t>
  </si>
  <si>
    <t>7 · Respuesta</t>
  </si>
  <si>
    <t>Restauración de tokens · salvaguardas de voz · ElevenLabs para síntesis</t>
  </si>
  <si>
    <t>COMPONENTES Y ESTADO SEGÚN LA PRESENTACIÓN</t>
  </si>
  <si>
    <t>Componente</t>
  </si>
  <si>
    <t>Estado documentado</t>
  </si>
  <si>
    <t>Notas</t>
  </si>
  <si>
    <t>Frontend 2D/3D/holograma</t>
  </si>
  <si>
    <t>Implementado</t>
  </si>
  <si>
    <t>Comparten sesión y API; revisar CSP/HSTS.</t>
  </si>
  <si>
    <t>API FastAPI</t>
  </si>
  <si>
    <t>Parcial</t>
  </si>
  <si>
    <t>Validación y errores; falta rate limiting.</t>
  </si>
  <si>
    <t>Auth Entra ID/MSAL/JWT</t>
  </si>
  <si>
    <t>Pendiente decisión de configuración definitiva con IT.</t>
  </si>
  <si>
    <t>Privacy Gateway / Presidio</t>
  </si>
  <si>
    <t>Implementado con condición</t>
  </si>
  <si>
    <t>Protege salida al LLM cuando enabled=true; verificar configuración real de producción.</t>
  </si>
  <si>
    <t>OpenAI / Azure OpenAI</t>
  </si>
  <si>
    <t>Proveedor común; controlar consumo por usuario.</t>
  </si>
  <si>
    <t>PostgreSQL + pgvector</t>
  </si>
  <si>
    <t>Base relacional e índice vectorial; Azure AI Search no desplegado.</t>
  </si>
  <si>
    <t>SharePoint / Graph</t>
  </si>
  <si>
    <t>Job de sincronización: comando de despliegue incorrecto según auditoría.</t>
  </si>
  <si>
    <t>ElevenLabs</t>
  </si>
  <si>
    <t>Filtro de importes; falta filtrado general de PII antes de voz.</t>
  </si>
  <si>
    <t>Azure Machine Learning / predictivo</t>
  </si>
  <si>
    <t>No implementado</t>
  </si>
  <si>
    <t>La presentación indica que no existe código ni infraestructura de ML.</t>
  </si>
  <si>
    <t>Conectia / A3</t>
  </si>
  <si>
    <t>Planificado</t>
  </si>
  <si>
    <t>Parte B del presupuesto; integración de fichajes y datos RR. HH.</t>
  </si>
  <si>
    <t>LÁMINAS ORIGINALES DE ARQUITECTURA / DESPLIEGUE</t>
  </si>
  <si>
    <t>Presentación de arquitectura · diapositiva 4</t>
  </si>
  <si>
    <t>Presentación de arquitectura · diapositiva 5</t>
  </si>
  <si>
    <t>Presentación de arquitectura · diapositiva 20</t>
  </si>
  <si>
    <t>Presentación de arquitectura · diapositiva 21</t>
  </si>
  <si>
    <t>INCIDENCIAS Y TAREAS DE ARQUITECTURA</t>
  </si>
  <si>
    <t>Incidencia / ID</t>
  </si>
  <si>
    <t>Descripción</t>
  </si>
  <si>
    <t>Prioridad</t>
  </si>
  <si>
    <t>Responsable</t>
  </si>
  <si>
    <t>Estimación (h)</t>
  </si>
  <si>
    <t>Observaciones / fuente</t>
  </si>
  <si>
    <t>Fecha objetivo</t>
  </si>
  <si>
    <t>ARQ-001</t>
  </si>
  <si>
    <t>Documentar el diagrama C4 (contexto, contenedores y componentes)</t>
  </si>
  <si>
    <t>Alta</t>
  </si>
  <si>
    <t>Desarrollo</t>
  </si>
  <si>
    <t>Auditoría/arquitectura: diagramas generales presentes; completar C4 operativo.</t>
  </si>
  <si>
    <t>ARQ-002</t>
  </si>
  <si>
    <t>Confirmar y documentar límites entre frontend, API, orquestador, dominios, LLM y Privacy Gateway</t>
  </si>
  <si>
    <t>Media</t>
  </si>
  <si>
    <t>Basado en el esquema de arquitectura de la presentación.</t>
  </si>
  <si>
    <t>ARQ-003</t>
  </si>
  <si>
    <t>Documentar RAG/pgvector, indexación, permisos y ciclo de actualización</t>
  </si>
  <si>
    <t>Azure AI Search está planificado, no desplegado; hoy se usa pgvector.</t>
  </si>
  <si>
    <t>ARQ-004</t>
  </si>
  <si>
    <t>Definir hoja de ruta para dominios Finanzas, Administración, Legal y Compliance</t>
  </si>
  <si>
    <t>Producto/Desarrollo</t>
  </si>
  <si>
    <t>La presentación indica que estos dominios están previstos, no implementados.</t>
  </si>
  <si>
    <t>Registro de incidencias, tareas y validaciones. Actualiza el Estado desde el desplegable; las tareas iniciales provienen de los documentos aportados y algunas requieren confirmar alcance.</t>
  </si>
  <si>
    <t>AUTH-001</t>
  </si>
  <si>
    <t>Decidir con IT el modo de login definitivo: Easy Auth o modo Entra implementado</t>
  </si>
  <si>
    <t>IT + Desarrollo</t>
  </si>
  <si>
    <t>Decisión pendiente en checklist previo a producción.</t>
  </si>
  <si>
    <t>AUTH-002</t>
  </si>
  <si>
    <t>Verificar configuración real de audiencia, issuer, JWKS y grupos/roles en el tenant</t>
  </si>
  <si>
    <t>IT</t>
  </si>
  <si>
    <t>La validación JWT y permisos granulares constan como implementados; confirmar tenant.</t>
  </si>
  <si>
    <t>AUTH-003</t>
  </si>
  <si>
    <t>Confirmar el alcance exacto de permisos de SharePoint concedidos en Entra ID</t>
  </si>
  <si>
    <t>La auditoría recomienda acotar a Sites.Selected si es viable.</t>
  </si>
  <si>
    <t>AUTH-004</t>
  </si>
  <si>
    <t>Verificar pantalla de acceso restringido y matriz de permisos por rol</t>
  </si>
  <si>
    <t>Desarrollo + IT</t>
  </si>
  <si>
    <t>MSAL.js y control por roles constan implementados.</t>
  </si>
  <si>
    <t>MAIL-001</t>
  </si>
  <si>
    <t>Confirmar Application Access Policy de Exchange Online</t>
  </si>
  <si>
    <t>Pendiente explícito para IT antes de producción.</t>
  </si>
  <si>
    <t>MAIL-002</t>
  </si>
  <si>
    <t>Revisar permisos y alcance de lectura de correo mediante Microsoft Graph</t>
  </si>
  <si>
    <t>La presentación marca el alcance del correo como punto a confirmar.</t>
  </si>
  <si>
    <t>MAIL-003</t>
  </si>
  <si>
    <t>Validar salvaguardas de envío: borrador, pausa humana, buzón de origen y destinatarios</t>
  </si>
  <si>
    <t>La auditoría describe cinco condiciones antes del envío real.</t>
  </si>
  <si>
    <t>MAIL-004</t>
  </si>
  <si>
    <t>Asegurar que el envío real permanece desactivado hasta autorización formal</t>
  </si>
  <si>
    <t>MIA_MAIL__SEND_ENABLED desactivado por defecto.</t>
  </si>
  <si>
    <t>EMP-001</t>
  </si>
  <si>
    <t>Validar sincronización de empleados SharePoint/Graph a PostgreSQL</t>
  </si>
  <si>
    <t>El job de sincronización tiene un comando incorrecto actualmente.</t>
  </si>
  <si>
    <t>EMP-002</t>
  </si>
  <si>
    <t>Validar altas, edición y campos de sexo/nacionalidad en formularios y automatización</t>
  </si>
  <si>
    <t>EMP-003</t>
  </si>
  <si>
    <t>Comprobar exclusión de cuentas de prueba de la sincronización real</t>
  </si>
  <si>
    <t>La auditoría indica que existe y está cubierta por tests.</t>
  </si>
  <si>
    <t>BTT-001</t>
  </si>
  <si>
    <t>Confirmar alcance funcional y fuente de datos de Boletines TT</t>
  </si>
  <si>
    <t>No se especifica detalle funcional en los documentos aportados.</t>
  </si>
  <si>
    <t>BTT-002</t>
  </si>
  <si>
    <t>Probar generación, consulta y permisos de boletines TT</t>
  </si>
  <si>
    <t>QA/Desarrollo</t>
  </si>
  <si>
    <t>Pendiente de validación funcional.</t>
  </si>
  <si>
    <t>TURN-001</t>
  </si>
  <si>
    <t>Validar sincronización y consulta de turnos desde SharePoint</t>
  </si>
  <si>
    <t>Turnos aparecen entre los datos corporativos integrados.</t>
  </si>
  <si>
    <t>TURN-002</t>
  </si>
  <si>
    <t>Contrastar resultados con los datos de origen y permisos por rol</t>
  </si>
  <si>
    <t>FIC-001</t>
  </si>
  <si>
    <t>Implementar y validar integración con Conectia/A3 para fichajes</t>
  </si>
  <si>
    <t>Parte B del presupuesto: 60 h, 2.700 €. No figura implementada hoy.</t>
  </si>
  <si>
    <t>FIC-002</t>
  </si>
  <si>
    <t>Mapear campos, tratar errores y validar resultados de fichajes</t>
  </si>
  <si>
    <t>Incluido en la estimación de integración Conectia; horas desglosadas por validar.</t>
  </si>
  <si>
    <t>NOM-001</t>
  </si>
  <si>
    <t>Verificar minimización de datos antes de generar embeddings de nóminas</t>
  </si>
  <si>
    <t>Desarrollo/Seguridad</t>
  </si>
  <si>
    <t>La auditoría describe proyección sin cifras ni datos personales.</t>
  </si>
  <si>
    <t>NOM-002</t>
  </si>
  <si>
    <t>Validar lectura puntual, permisos específicos y auditoría de nóminas</t>
  </si>
  <si>
    <t>Desarrollo/QA</t>
  </si>
  <si>
    <t>Control sensible descrito como implementado; validar casos reales.</t>
  </si>
  <si>
    <t>NOM-003</t>
  </si>
  <si>
    <t>Confirmar que los importes de nómina no se reproducen por voz en todos los flujos</t>
  </si>
  <si>
    <t>La auditoría señala filtro de importes, pero el endpoint de voz no revalida texto.</t>
  </si>
  <si>
    <t>NOM-004</t>
  </si>
  <si>
    <t>Confirmar decisión sobre indexación de contenido sensible</t>
  </si>
  <si>
    <t>IT + Legal + Producto</t>
  </si>
  <si>
    <t>MIA_DATA__INDEX_SENSITIVE_CONTENT cambia el alcance de retención; false por defecto.</t>
  </si>
  <si>
    <t>VAC-001</t>
  </si>
  <si>
    <t>Validar consulta de vacaciones y asuntos propios contra el dato corporativo</t>
  </si>
  <si>
    <t>Incluido en la integración de datos corporativos.</t>
  </si>
  <si>
    <t>VAC-002</t>
  </si>
  <si>
    <t>Probar permisos, saldos, fechas y casos límite</t>
  </si>
  <si>
    <t>ABS-001</t>
  </si>
  <si>
    <t>Confirmar fuentes y reglas de absentismo disponibles en el sistema actual</t>
  </si>
  <si>
    <t>Los documentos aportados no detallan este módulo.</t>
  </si>
  <si>
    <t>ABS-002</t>
  </si>
  <si>
    <t>Definir pruebas funcionales, permisos y trazabilidad de consultas</t>
  </si>
  <si>
    <t>Pendiente de definición/validación.</t>
  </si>
  <si>
    <t>REP-001</t>
  </si>
  <si>
    <t>Conectar informes PDF/Excel con Azure Blob Storage en lugar de /tmp</t>
  </si>
  <si>
    <t>La auditoría indica que Storage existe, pero los informes se escriben en /tmp.</t>
  </si>
  <si>
    <t>REP-002</t>
  </si>
  <si>
    <t>Validar generación y descarga de PDF, Excel y PPTX frente al sistema anterior</t>
  </si>
  <si>
    <t>Presupuesto: migración funcional y paridad incluye informes PDF/Excel/PPTX.</t>
  </si>
  <si>
    <t>REP-003</t>
  </si>
  <si>
    <t>Verificar worker de informes masivos y decidir si se activa</t>
  </si>
  <si>
    <t>El worker aparece desactivado por defecto.</t>
  </si>
  <si>
    <t>ATT-001</t>
  </si>
  <si>
    <t>Automatizar/validar instalación del modelo spaCy es_core_news_lg en build/despliegue</t>
  </si>
  <si>
    <t>Hallazgo de fiabilidad: modelo de ~500 MB no se instala automáticamente.</t>
  </si>
  <si>
    <t>ATT-002</t>
  </si>
  <si>
    <t>Validar allowlist, magic-bytes, denylist y protección path-traversal</t>
  </si>
  <si>
    <t>QA/Seguridad</t>
  </si>
  <si>
    <t>Controles descritos como implementados.</t>
  </si>
  <si>
    <t>ATT-003</t>
  </si>
  <si>
    <t>Confirmar persistencia, retención y limpieza de adjuntos del Privacy Gateway</t>
  </si>
  <si>
    <t>Desarrollo/IT</t>
  </si>
  <si>
    <t>Hay limpieza horaria; revisar almacenamiento y política.</t>
  </si>
  <si>
    <t>NEWS-001</t>
  </si>
  <si>
    <t>Definir fuente, frecuencia y filtros de noticias/newsletter</t>
  </si>
  <si>
    <t>Producto</t>
  </si>
  <si>
    <t>No se especifica en los documentos aportados.</t>
  </si>
  <si>
    <t>NEWS-002</t>
  </si>
  <si>
    <t>Validar plantilla, destinatarios, consentimiento y trazabilidad del newsletter</t>
  </si>
  <si>
    <t>Pendiente de definición funcional.</t>
  </si>
  <si>
    <t>GOV-001</t>
  </si>
  <si>
    <t>Confirmar base legal, derechos de interesados y responsabilidades RGPD/LOPDGDD con Legal</t>
  </si>
  <si>
    <t>IT + Legal</t>
  </si>
  <si>
    <t>La auditoría deja estas decisiones fuera del código.</t>
  </si>
  <si>
    <t>GOV-002</t>
  </si>
  <si>
    <t>Valorar DPIA para RR. HH. y, si se desarrolla, para el módulo predictivo</t>
  </si>
  <si>
    <t>Legal/DPD</t>
  </si>
  <si>
    <t>Recomendación expresa de la presentación.</t>
  </si>
  <si>
    <t>GOV-003</t>
  </si>
  <si>
    <t>Confirmar DPA y condiciones de procesamiento con OpenAI/Azure OpenAI y ElevenLabs</t>
  </si>
  <si>
    <t>Pendiente explícito antes de procesar datos reales de empleados.</t>
  </si>
  <si>
    <t>GOV-004</t>
  </si>
  <si>
    <t>Definir dominios funcionales y responsables de aprobación de cambios</t>
  </si>
  <si>
    <t>Producto/IT</t>
  </si>
  <si>
    <t>Gobernanza operativa pendiente de concretar.</t>
  </si>
  <si>
    <t>AUD-001</t>
  </si>
  <si>
    <t>Definir integración con SIEM corporativo o documentar decisión de no integración</t>
  </si>
  <si>
    <t>IT/Seguridad</t>
  </si>
  <si>
    <t>La auditoría indica que no hay integración SIEM definida.</t>
  </si>
  <si>
    <t>AUD-002</t>
  </si>
  <si>
    <t>Definir alertas automáticas sobre logs y Application Insights</t>
  </si>
  <si>
    <t>IT/Desarrollo</t>
  </si>
  <si>
    <t>No hay metricAlerts/actionGroups definidos en Bicep.</t>
  </si>
  <si>
    <t>AUD-003</t>
  </si>
  <si>
    <t>Documentar proceso formal de respuesta a incidentes</t>
  </si>
  <si>
    <t>La presentación indica que no existe proceso formal documentado.</t>
  </si>
  <si>
    <t>AUD-004</t>
  </si>
  <si>
    <t>Revisar matriz de controles y evidencias para aceptación previa a producción</t>
  </si>
  <si>
    <t>La auditoría indica 61% de controles implementados/verificados.</t>
  </si>
  <si>
    <t>SEC-001</t>
  </si>
  <si>
    <t>Añadir rate limiting a /api/chat/stream y /api/voice/stream</t>
  </si>
  <si>
    <t>Crítica</t>
  </si>
  <si>
    <t>Hallazgo de prioridad alta: riesgo de abuso de coste y denegación de servicio.</t>
  </si>
  <si>
    <t>SEC-002</t>
  </si>
  <si>
    <t>Añadir cuotas/límites de coste por usuario o sesión</t>
  </si>
  <si>
    <t>No hay límites agregados de coste por usuario.</t>
  </si>
  <si>
    <t>SEC-003</t>
  </si>
  <si>
    <t>Añadir cabeceras Content-Security-Policy y Strict-Transport-Security</t>
  </si>
  <si>
    <t>Ausentes según auditoría, especialmente relevante para el frontend 2D legacy.</t>
  </si>
  <si>
    <t>SEC-004</t>
  </si>
  <si>
    <t>Activar Dependabot y escaneo de vulnerabilidades en CI (backend, npm e imagen)</t>
  </si>
  <si>
    <t>No hay SCA ni escaneo de imagen configurados.</t>
  </si>
  <si>
    <t>SEC-005</t>
  </si>
  <si>
    <t>Crear lockfile reproducible para dependencias Python</t>
  </si>
  <si>
    <t>Backend usa rangos de versiones sin lockfile.</t>
  </si>
  <si>
    <t>SEC-006</t>
  </si>
  <si>
    <t>Filtrar PII general antes de enviar texto a ElevenLabs y revalidar endpoint de voz</t>
  </si>
  <si>
    <t>La voz elimina importes, pero no filtra PII general.</t>
  </si>
  <si>
    <t>SEC-007</t>
  </si>
  <si>
    <t>Revisar el enrutado de preguntas ambiguas y aplicar herramientas de menor privilegio</t>
  </si>
  <si>
    <t>El orquestador entrega el catálogo completo de herramientas permitidas si no detecta dominio.</t>
  </si>
  <si>
    <t>SEC-008</t>
  </si>
  <si>
    <t>Confirmar Privacy Gateway enabled=true y fail-closed en configuración real de producción</t>
  </si>
  <si>
    <t>La garantía depende de la configuración de entorno en Azure.</t>
  </si>
  <si>
    <t>SEC-009</t>
  </si>
  <si>
    <t>Evaluar VNet/private endpoint para PostgreSQL</t>
  </si>
  <si>
    <t>IT/Azure</t>
  </si>
  <si>
    <t>Planificado; hoy firewall usa AllowAzureServices.</t>
  </si>
  <si>
    <t>SEC-010</t>
  </si>
  <si>
    <t>Definir RTO/RPO, pruebas de restauración y procedimiento de rotación de secretos</t>
  </si>
  <si>
    <t>Backups configurados, pero RTO/RPO y respuesta formal no están definidos.</t>
  </si>
  <si>
    <t>PRE-001</t>
  </si>
  <si>
    <t>Corregir el comando del job de sincronización en Bicep: mia.sync → mia.ingestion.sync</t>
  </si>
  <si>
    <t>Defecto confirmado: el job falla en cada ejecución.</t>
  </si>
  <si>
    <t>PRE-002</t>
  </si>
  <si>
    <t>Ejecutar pruebas de salud /health/live y /health/ready tras despliegue</t>
  </si>
  <si>
    <t>200 en ready debe confirmar conexión real a PostgreSQL.</t>
  </si>
  <si>
    <t>PRE-003</t>
  </si>
  <si>
    <t>Completar pruebas de aceptación funcional, carga y concurrencia</t>
  </si>
  <si>
    <t>QA/Producto</t>
  </si>
  <si>
    <t>Parte del plan de pruebas y validación del presupuesto.</t>
  </si>
  <si>
    <t>PRE-004</t>
  </si>
  <si>
    <t>Verificar instalación del modelo Presidio/spaCy en contenedor limpio</t>
  </si>
  <si>
    <t>Paso manual que debe automatizarse.</t>
  </si>
  <si>
    <t>PRE-005</t>
  </si>
  <si>
    <t>Validar migraciones Alembic y plan de rollback de base de datos</t>
  </si>
  <si>
    <t>Rollback de código no revierte migraciones.</t>
  </si>
  <si>
    <t>PRO-001</t>
  </si>
  <si>
    <t>Acordar y ejecutar checklist de salida a producción con IT</t>
  </si>
  <si>
    <t>La presentación indica que producción es el último paso y aún no está contratada.</t>
  </si>
  <si>
    <t>PRO-002</t>
  </si>
  <si>
    <t>Configurar CI/CD completo o documentar el despliegue manual aceptado</t>
  </si>
  <si>
    <t>La auditoría indica que el despliegue a Azure es manual.</t>
  </si>
  <si>
    <t>PRO-003</t>
  </si>
  <si>
    <t>Confirmar SKU de PostgreSQL y capacidad esperada</t>
  </si>
  <si>
    <t>Decisión pendiente de IT.</t>
  </si>
  <si>
    <t>PRO-004</t>
  </si>
  <si>
    <t>Validar DNS, certificados, seguridad, monitorización y distribución Desktop</t>
  </si>
  <si>
    <t>Parte B incluye despliegue productivo y distribución.</t>
  </si>
  <si>
    <t>PRO-005</t>
  </si>
  <si>
    <t>Confirmar acceso administrativo del cliente a Azure, repositorio y secretos</t>
  </si>
  <si>
    <t>Condición de traspaso limpio.</t>
  </si>
  <si>
    <t>COST-001</t>
  </si>
  <si>
    <t>Medir consumo real de tokens y caracteres con Application Insights y ajustar estimaciones</t>
  </si>
  <si>
    <t>Desarrollo/Finanzas</t>
  </si>
  <si>
    <t>El consumo actual está modelado, no medido.</t>
  </si>
  <si>
    <t>COST-002</t>
  </si>
  <si>
    <t>Evaluar gpt-4.1-mini para consultas rutinarias y comparar calidad/coste</t>
  </si>
  <si>
    <t>Ahorro modelado aproximado del 80% frente a GPT-4.1.</t>
  </si>
  <si>
    <t>COST-003</t>
  </si>
  <si>
    <t>Evaluar caché de entrada en Azure OpenAI para contexto repetido</t>
  </si>
  <si>
    <t>Baja</t>
  </si>
  <si>
    <t>Posible ahorro modelado aproximado del 78% en tokens de entrada en caché.</t>
  </si>
  <si>
    <t>COST-004</t>
  </si>
  <si>
    <t>Establecer alertas de presupuesto y umbrales de consumo para voz/LLM</t>
  </si>
  <si>
    <t>IT/Finanzas</t>
  </si>
  <si>
    <t>No hay control agregado de coste por usuario.</t>
  </si>
  <si>
    <t>COST-005</t>
  </si>
  <si>
    <t>Revisar previsión de costes al crecer de 10 usuarios o aumentar concurrencia</t>
  </si>
  <si>
    <t>Estimación actual contempla 1-10 usuarios.</t>
  </si>
  <si>
    <t>EST-001</t>
  </si>
  <si>
    <t>Validar alcance y tarifa de la Parte A del presupuesto</t>
  </si>
  <si>
    <t>Cliente/Desarrollo</t>
  </si>
  <si>
    <t>Presupuesto: 1.120 h × 45 €/h = 50.400 € sin IVA.</t>
  </si>
  <si>
    <t>EST-002</t>
  </si>
  <si>
    <t>Validar alcance y tarifa de la Parte B: Conectia y producción</t>
  </si>
  <si>
    <t>Presupuesto: 150 h × 45 €/h = 6.750 € sin IVA, facturación aparte.</t>
  </si>
  <si>
    <t>EST-003</t>
  </si>
  <si>
    <t>Mantener separadas horas presupuestadas y horas pendientes reales</t>
  </si>
  <si>
    <t>Las estimaciones del presupuesto no implican que todo el trabajo esté pendiente.</t>
  </si>
  <si>
    <t>PRESUPUESTO DOCUMENTADO · DESARROLLO Y PUESTA EN MARCHA</t>
  </si>
  <si>
    <t>Parte</t>
  </si>
  <si>
    <t>Horas estimadas</t>
  </si>
  <si>
    <t>Tarifa €/h</t>
  </si>
  <si>
    <t>Importe €</t>
  </si>
  <si>
    <t>A</t>
  </si>
  <si>
    <t>Análisis y diseño de arquitectura</t>
  </si>
  <si>
    <t>Parte A</t>
  </si>
  <si>
    <t>Núcleo y backend</t>
  </si>
  <si>
    <t>Integración con datos corporativos</t>
  </si>
  <si>
    <t>Motor conversacional e IA</t>
  </si>
  <si>
    <t>Migración funcional y paridad</t>
  </si>
  <si>
    <t>Voz (ElevenLabs)</t>
  </si>
  <si>
    <t>Multiusuario y multilenguaje</t>
  </si>
  <si>
    <t>Autenticación y permisos</t>
  </si>
  <si>
    <t>Conocimiento de empresa y aprendizaje</t>
  </si>
  <si>
    <t>Arquitectura multidominio</t>
  </si>
  <si>
    <t>Frontend: mundos 2D, 3D y holograma</t>
  </si>
  <si>
    <t>Mejoras funcionales</t>
  </si>
  <si>
    <t>Modelo predictivo</t>
  </si>
  <si>
    <t>Parte A — planificado/no implementado según auditoría</t>
  </si>
  <si>
    <t>Frontend premium</t>
  </si>
  <si>
    <t>mIA Desktop: base Electron e instalador</t>
  </si>
  <si>
    <t>mIA Desktop: atajos y notificaciones</t>
  </si>
  <si>
    <t>mIA Desktop: voz</t>
  </si>
  <si>
    <t>Pruebas, validación y documentación</t>
  </si>
  <si>
    <t>Puesta en marcha en preproducción</t>
  </si>
  <si>
    <t>B</t>
  </si>
  <si>
    <t>Integración con Conectia (A3, Wolters Kluwer)</t>
  </si>
  <si>
    <t>Parte B</t>
  </si>
  <si>
    <t>Despliegue en producción</t>
  </si>
  <si>
    <t>Distribución de mIA Desktop en producción</t>
  </si>
  <si>
    <t>Migración de configuración y pruebas en PRO</t>
  </si>
  <si>
    <t>Acompañamiento tras la salida</t>
  </si>
  <si>
    <t>TOTAL PARTE A</t>
  </si>
  <si>
    <t>Preproducción; sin IVA</t>
  </si>
  <si>
    <t>TOTAL PARTE B</t>
  </si>
  <si>
    <t>Conectia y puesta en producción; facturación aparte</t>
  </si>
  <si>
    <t>TOTAL GENERAL</t>
  </si>
  <si>
    <t>Importes estimados; IVA no incluido</t>
  </si>
  <si>
    <t>mIA · Costes operativos Azure, LLM y voz</t>
  </si>
  <si>
    <t>Cifras de referencia extraídas de las presentaciones de costes aportadas. Los consumos de LLM/voz son escenarios modelados, no mediciones reales.</t>
  </si>
  <si>
    <t>Unidad</t>
  </si>
  <si>
    <t>Observaciones</t>
  </si>
  <si>
    <t>€/mes</t>
  </si>
  <si>
    <t>Estimación fija para 1-10 usuarios; 9 servicios desplegados</t>
  </si>
  <si>
    <t>GPT-4.1 - perfil ligero</t>
  </si>
  <si>
    <t>€/usuario/mes</t>
  </si>
  <si>
    <t>5 consultas/día; modelo estimado, no consumo medido</t>
  </si>
  <si>
    <t>GPT-4.1 - perfil medio</t>
  </si>
  <si>
    <t>15 consultas/día; modelo estimado, no consumo medido</t>
  </si>
  <si>
    <t>GPT-4.1 - perfil intensivo</t>
  </si>
  <si>
    <t>30 consultas/día; modelo estimado, no consumo medido</t>
  </si>
  <si>
    <t>ElevenLabs - voz ocasional</t>
  </si>
  <si>
    <t>5 respuestas habladas/día; pago por uso</t>
  </si>
  <si>
    <t>ElevenLabs - voz intensiva</t>
  </si>
  <si>
    <t>30 respuestas habladas/día; pago por uso</t>
  </si>
  <si>
    <t>Escenario 1 usuario ligero (texto)</t>
  </si>
  <si>
    <t>Azure 72 + LLM 0,70 + voz 0</t>
  </si>
  <si>
    <t>Escenario 1 usuario intensivo + voz</t>
  </si>
  <si>
    <t>Azure 72 + LLM 8,58 + voz 9,42</t>
  </si>
  <si>
    <t>Escenario 5 usuarios mixtos</t>
  </si>
  <si>
    <t>Azure 72 + LLM 15,86 + voz 9,42</t>
  </si>
  <si>
    <t>Escenario 10 usuarios mixtos</t>
  </si>
  <si>
    <t>Azure 72 + LLM 31,72 + voz 18,84</t>
  </si>
  <si>
    <t>Azure AI Search Basic (planificado)</t>
  </si>
  <si>
    <t>No desplegado hoy; no incluido en total actual</t>
  </si>
  <si>
    <t>Azure Machine Learning DS3 v2 (planificado)</t>
  </si>
  <si>
    <t>€/mes mínimo modelado</t>
  </si>
  <si>
    <t>No desplegado hoy; depende de horas de cómputo</t>
  </si>
  <si>
    <t>Bloque de seguimiento incorporado a petición del usuario. Las tareas están propuestas y marcadas para validación; no confirman por sí mismas la implementación actual.</t>
  </si>
  <si>
    <t>M2D-001</t>
  </si>
  <si>
    <t>Inventariar pantallas, rutas y estados de la interfaz 2D (inicio, chat, carga, error y sesión expirada).</t>
  </si>
  <si>
    <t>Frontend</t>
  </si>
  <si>
    <t>Nuevo bloque solicitado; confirmar qué está implementado y qué falta.</t>
  </si>
  <si>
    <t>M2D-002</t>
  </si>
  <si>
    <t>Verificar inicio de sesión Entra ID/MSAL y envío del token al backend en todas las llamadas.</t>
  </si>
  <si>
    <t>Frontend + IT</t>
  </si>
  <si>
    <t>Debe reutilizar la autenticación y autorización comunes de mIA.</t>
  </si>
  <si>
    <t>M2D-003</t>
  </si>
  <si>
    <t>Validar renderizado SSE, respuestas parciales, cancelación y recuperación ante desconexiones.</t>
  </si>
  <si>
    <t>Frontend + Backend</t>
  </si>
  <si>
    <t>Verificar compatibilidad con el streaming del backend real.</t>
  </si>
  <si>
    <t>M2D-004</t>
  </si>
  <si>
    <t>Comprobar adjuntos, descarga de informes y representación de errores de permisos.</t>
  </si>
  <si>
    <t>Coordinar con Tratamiento de Adjuntos e Informes y Reporting.</t>
  </si>
  <si>
    <t>M2D-005</t>
  </si>
  <si>
    <t>Revisar diseño responsive, accesibilidad, teclado, foco y mensajes de carga.</t>
  </si>
  <si>
    <t>Frontend + QA</t>
  </si>
  <si>
    <t>Propuesta de validación funcional y de accesibilidad.</t>
  </si>
  <si>
    <t>M2D-006</t>
  </si>
  <si>
    <t>Comprobar que herramientas, roles y acciones visibles coinciden con los permisos efectivos.</t>
  </si>
  <si>
    <t>Frontend + Seguridad</t>
  </si>
  <si>
    <t>La interfaz no debe sustituir los controles de autorización del servidor.</t>
  </si>
  <si>
    <t>M3D-001</t>
  </si>
  <si>
    <t>Documentar tecnología de renderizado, motor, dependencias, licencias y navegadores soportados.</t>
  </si>
  <si>
    <t>Frontend 3D + Producto</t>
  </si>
  <si>
    <t>Decisión/estado actual no confirmado en los documentos revisados.</t>
  </si>
  <si>
    <t>M3D-002</t>
  </si>
  <si>
    <t>Validar ciclo de vida del avatar: carga, estado de espera, escucha, respuesta, error y salida.</t>
  </si>
  <si>
    <t>Frontend 3D</t>
  </si>
  <si>
    <t>Asegurar coherencia con el ciclo de conversación de mIA.</t>
  </si>
  <si>
    <t>M3D-003</t>
  </si>
  <si>
    <t>Integrar y probar voz, sincronización labial/visemas y reproducción interrumpible.</t>
  </si>
  <si>
    <t>Frontend 3D + Voz</t>
  </si>
  <si>
    <t>Confirmar proveedor y funciones realmente activas antes de estimar el alcance final.</t>
  </si>
  <si>
    <t>M3D-004</t>
  </si>
  <si>
    <t>Verificar streaming de texto/audio y manejo de respuestas largas, cancelación y reconexión.</t>
  </si>
  <si>
    <t>Frontend 3D + Backend</t>
  </si>
  <si>
    <t>Reutilizar API y sesión existentes; no duplicar reglas de negocio.</t>
  </si>
  <si>
    <t>M3D-005</t>
  </si>
  <si>
    <t>Medir rendimiento, memoria, carga de recursos y degradación en equipos modestos.</t>
  </si>
  <si>
    <t>Frontend 3D + QA</t>
  </si>
  <si>
    <t>Definir objetivos medibles de fluidez y tiempo de carga.</t>
  </si>
  <si>
    <t>M3D-006</t>
  </si>
  <si>
    <t>Validar cámara/micrófono, permisos del navegador y alternativas sin dispositivos.</t>
  </si>
  <si>
    <t>Seguridad + Frontend</t>
  </si>
  <si>
    <t>Aplicable si el mundo 3D utiliza entrada de audio/video.</t>
  </si>
  <si>
    <t>HLOG-001</t>
  </si>
  <si>
    <t>Definir escenario holográfico: dispositivo, pantalla/proyección, sensores y distancia de interacción.</t>
  </si>
  <si>
    <t>Producto + Hardware</t>
  </si>
  <si>
    <t>Alcance físico y hardware pendiente de concretar.</t>
  </si>
  <si>
    <t>HLOG-002</t>
  </si>
  <si>
    <t>Validar renderizado, orientación, escala y legibilidad en los dispositivos holográficos elegidos.</t>
  </si>
  <si>
    <t>Frontend 3D + Hardware</t>
  </si>
  <si>
    <t>Pruebas condicionadas a disponer del dispositivo objetivo.</t>
  </si>
  <si>
    <t>HLOG-003</t>
  </si>
  <si>
    <t>Probar interacción por voz en entornos reales, ruido ambiental, silencios y alternativa manual.</t>
  </si>
  <si>
    <t>Voz + QA</t>
  </si>
  <si>
    <t>Confirmar si existe microfonía dedicada y si se activa siempre o bajo consentimiento.</t>
  </si>
  <si>
    <t>HLOG-004</t>
  </si>
  <si>
    <t>Asegurar autenticación, permisos, cierre de sesión y caducidad en modo compartido/kiosco.</t>
  </si>
  <si>
    <t>IT + Seguridad</t>
  </si>
  <si>
    <t>Especial atención a sesiones abandonadas y cambio de usuario.</t>
  </si>
  <si>
    <t>HLOG-005</t>
  </si>
  <si>
    <t>Definir privacidad visible: no mostrar datos sensibles a terceros y limpiar el estado al terminar.</t>
  </si>
  <si>
    <t>Seguridad + Producto</t>
  </si>
  <si>
    <t>Revisar retención local, logs, pantalla de espera y salida segura.</t>
  </si>
  <si>
    <t>HLOG-006</t>
  </si>
  <si>
    <t>Medir disponibilidad, recuperación tras fallos y estado de conectividad del dispositivo.</t>
  </si>
  <si>
    <t>Hardware + QA</t>
  </si>
  <si>
    <t>Definir comprobaciones operativas y procedimiento de reinicio.</t>
  </si>
  <si>
    <t>DESK-001</t>
  </si>
  <si>
    <t>Definir alcance de la app de escritorio, sistemas operativos, distribución y dependencias.</t>
  </si>
  <si>
    <t>Producto + Desarrollo</t>
  </si>
  <si>
    <t>La pestaña registra el bloque solicitado; no se presupone que ya exista una app.</t>
  </si>
  <si>
    <t>DESK-002</t>
  </si>
  <si>
    <t>Diseñar autenticación Entra ID con flujo compatible con aplicación de escritorio.</t>
  </si>
  <si>
    <t>Alinear el flujo con el tenant y las políticas corporativas.</t>
  </si>
  <si>
    <t>DESK-003</t>
  </si>
  <si>
    <t>Proteger tokens, secretos y configuración local; evitar credenciales en texto plano.</t>
  </si>
  <si>
    <t>Seguridad + Desarrollo</t>
  </si>
  <si>
    <t>Revisar almacenamiento seguro específico de cada sistema operativo.</t>
  </si>
  <si>
    <t>DESK-004</t>
  </si>
  <si>
    <t>Conectar con API/backend usando configuración de entorno segura y validación TLS.</t>
  </si>
  <si>
    <t>Reutilizar controles de sesión, roles y políticas del backend.</t>
  </si>
  <si>
    <t>DESK-005</t>
  </si>
  <si>
    <t>Definir firma, empaquetado, actualización, rollback y desinstalación.</t>
  </si>
  <si>
    <t>DevOps + IT</t>
  </si>
  <si>
    <t>Incluir canal de distribución y gestión de versiones.</t>
  </si>
  <si>
    <t>DESK-006</t>
  </si>
  <si>
    <t>Validar logs, telemetría, tratamiento de errores y limpieza de datos al cerrar sesión.</t>
  </si>
  <si>
    <t>Desarrollo + Seguridad</t>
  </si>
  <si>
    <t>Evitar registrar prompts, tokens o datos personales sin autorización.</t>
  </si>
  <si>
    <t>LANG-001</t>
  </si>
  <si>
    <t>Definir idiomas iniciales, variante regional y prioridad de despliegue.</t>
  </si>
  <si>
    <t>Producto + RR. HH.</t>
  </si>
  <si>
    <t>Los idiomas objetivo no están especificados en las fuentes disponibles.</t>
  </si>
  <si>
    <t>LANG-002</t>
  </si>
  <si>
    <t>Centralizar textos de interfaz en recursos de traducción y eliminar cadenas incrustadas.</t>
  </si>
  <si>
    <t>Incluir menús, botones, validaciones, errores y accesibilidad.</t>
  </si>
  <si>
    <t>LANG-003</t>
  </si>
  <si>
    <t>Permitir selección y persistencia de idioma por usuario con detección inicial configurable.</t>
  </si>
  <si>
    <t>Definir precedencia entre preferencia guardada y configuración del navegador.</t>
  </si>
  <si>
    <t>LANG-004</t>
  </si>
  <si>
    <t>Probar instrucciones del agente, respuestas, cambio de idioma y terminología laboral.</t>
  </si>
  <si>
    <t>IA + RR. HH.</t>
  </si>
  <si>
    <t>Evaluar calidad y coherencia sin traducir nombres propios, cifras o normativa indebidamente.</t>
  </si>
  <si>
    <t>LANG-005</t>
  </si>
  <si>
    <t>Revisar traducción de informes, correos, adjuntos y exportaciones generados por mIA.</t>
  </si>
  <si>
    <t>Backend + Dominios</t>
  </si>
  <si>
    <t>Acordar si el idioma afecta solo a la presentación o también al contenido generado.</t>
  </si>
  <si>
    <t>LANG-006</t>
  </si>
  <si>
    <t>Validar voz por idioma: reconocimiento, pronunciación, voces disponibles y fallback a texto.</t>
  </si>
  <si>
    <t>Depende de los proveedores/idiomas contratados realmente.</t>
  </si>
  <si>
    <t>LANG-007</t>
  </si>
  <si>
    <t>Automatizar pruebas por idioma: formatos de fecha/número, cadenas largas y diseño.</t>
  </si>
  <si>
    <t>QA + Frontend</t>
  </si>
  <si>
    <t>Incluir pruebas de no-regresión y, si aplica, idiomas RTL.</t>
  </si>
  <si>
    <t>MAIL-005</t>
  </si>
  <si>
    <t>Cuando recibe un nuevo mail, y avisa con el globo o el alert, mIA debe decirlo por voz y preguntar si quiere que se lo resuma, en caso afirmativo debe resumir el ultimo mail recibido y mostrar en pantalla el registro como cuando se pregunta por el listado, con las opciones de ver y responder.</t>
  </si>
  <si>
    <t>Muy Alta</t>
  </si>
  <si>
    <t>FIC-003</t>
  </si>
  <si>
    <t>Revisar informe generado, hacerlo más simple pero con
 la misma info, por cada empleado una unica pestaña
 no varias</t>
  </si>
  <si>
    <t>FIC-004</t>
  </si>
  <si>
    <t xml:space="preserve">Si le pido el detalle en la comparacion con turnos de un unico
 o varios empleados debe resolverlo para esas personas, y no
 incluir todas o dar error tal como pasa </t>
  </si>
  <si>
    <t xml:space="preserve">Para la pregunta: compara los fichajes de las fechas en la hoja excel con los turnos asignados para esos empleados, quiero que generes el informe solo para el empleado Alba Fernandez Avila. Responde:
No se han generado: Excel. No se confirma una entrega que no existe.
No hay datos verificables y completos para exportar desde esta ejecución.
12:29
13.893 ms
Análisis
Indicadores y comparativas
Resultado
Persona
Alba Fernandez Avila
Departamento
Pisos
Correctos
0
Desviados
0
0
Desviados de turno
0
</t>
  </si>
  <si>
    <t>mia-web: http://localhost:5173/
mia-diagnostics: http://127.0.0.1:5001/api/admin/diagnostics/</t>
  </si>
  <si>
    <t>Sincronizar y actulizar los esquemas con los dos nuevos campos. Datos importantes para la estadistica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</si>
</sst>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"/>
    <numFmt numFmtId="166" formatCode="#,##0.0"/>
    <numFmt numFmtId="167" formatCode="\€#,##0.00"/>
  </numFmts>
  <fonts count="21" x14ac:knownFonts="1">
    <font>
      <sz val="11"/>
      <color theme="1"/>
      <name val="Calibri"/>
    </font>
    <font>
      <b/>
      <sz val="18"/>
      <color rgb="FFFFFFFF"/>
      <name val="Aptos Display"/>
    </font>
    <font>
      <i/>
      <sz val="10"/>
      <color rgb="FF526273"/>
      <name val="Aptos"/>
    </font>
    <font>
      <b/>
      <sz val="11"/>
      <color rgb="FFFFFFFF"/>
      <name val="Calibri"/>
    </font>
    <font>
      <b/>
      <sz val="11"/>
      <color rgb="FF0563C1"/>
      <name val="Calibri"/>
    </font>
    <font>
      <sz val="12"/>
      <color theme="10"/>
      <name val="Calibri"/>
    </font>
    <font>
      <b/>
      <sz val="11"/>
      <color rgb="FF243447"/>
      <name val="Calibri"/>
    </font>
    <font>
      <b/>
      <sz val="12"/>
      <color rgb="FF1F4E78"/>
      <name val="Calibri"/>
    </font>
    <font>
      <i/>
      <sz val="9"/>
      <color rgb="FF7F6000"/>
      <name val="Calibri"/>
    </font>
    <font>
      <b/>
      <sz val="12"/>
      <color rgb="FFFFFFFF"/>
      <name val="Calibri"/>
    </font>
    <font>
      <b/>
      <sz val="11"/>
      <color rgb="FF17365D"/>
      <name val="Calibri"/>
    </font>
    <font>
      <sz val="11"/>
      <color rgb="FF243447"/>
      <name val="Calibri"/>
    </font>
    <font>
      <b/>
      <sz val="14"/>
      <color rgb="FF0F6B78"/>
      <name val="Calibri"/>
    </font>
    <font>
      <b/>
      <sz val="11"/>
      <color rgb="FFFFFFFF"/>
      <name val="Calibri"/>
    </font>
    <font>
      <sz val="11"/>
      <color rgb="FF1F2937"/>
      <name val="Calibri"/>
    </font>
    <font>
      <b/>
      <sz val="11"/>
      <color rgb="FF0563C1"/>
      <name val="Calibri"/>
    </font>
    <font>
      <sz val="11"/>
      <color rgb="FF1F2937"/>
      <name val="Aptos"/>
    </font>
    <font>
      <b/>
      <sz val="11"/>
      <color rgb="FF0563C1"/>
      <name val="Aptos"/>
    </font>
    <font>
      <b/>
      <sz val="11"/>
      <color rgb="FFFFFFFF"/>
      <name val="Aptos"/>
    </font>
    <font>
      <sz val="11"/>
      <color theme="1"/>
      <name val="Calibri"/>
      <family val="2"/>
    </font>
    <font>
      <u/>
      <sz val="11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F3F6F9"/>
      </patternFill>
    </fill>
    <fill>
      <patternFill patternType="solid">
        <fgColor rgb="FF0F6B78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FFFFFF"/>
      </patternFill>
    </fill>
    <fill>
      <patternFill patternType="solid">
        <fgColor rgb="FFDCE6F1"/>
      </patternFill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1F4E78"/>
      </bottom>
      <diagonal/>
    </border>
    <border>
      <left/>
      <right/>
      <top/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/>
      <right/>
      <top style="thin">
        <color rgb="FFD7DEE8"/>
      </top>
      <bottom style="thin">
        <color rgb="FFD7DEE8"/>
      </bottom>
      <diagonal/>
    </border>
    <border>
      <left/>
      <right/>
      <top/>
      <bottom style="thin">
        <color rgb="FFD7DEE8"/>
      </bottom>
      <diagonal/>
    </border>
    <border>
      <left/>
      <right style="thin">
        <color rgb="FFD7DEE8"/>
      </right>
      <top style="thin">
        <color rgb="FFD7DEE8"/>
      </top>
      <bottom style="thin">
        <color rgb="FFD7DEE8"/>
      </bottom>
      <diagonal/>
    </border>
    <border>
      <left/>
      <right/>
      <top style="thin">
        <color rgb="FFD7DEE8"/>
      </top>
      <bottom style="thin">
        <color rgb="FFD7DEE8"/>
      </bottom>
      <diagonal/>
    </border>
    <border>
      <left/>
      <right/>
      <top/>
      <bottom style="medium">
        <color rgb="FF1F4E78"/>
      </bottom>
      <diagonal/>
    </border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63">
    <xf numFmtId="0" fontId="0" fillId="0" borderId="0" xfId="0"/>
    <xf numFmtId="0" fontId="3" fillId="3" borderId="1" xfId="0" applyFont="1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6" fillId="4" borderId="2" xfId="0" applyFont="1" applyFill="1" applyBorder="1"/>
    <xf numFmtId="1" fontId="7" fillId="0" borderId="2" xfId="0" applyNumberFormat="1" applyFont="1" applyBorder="1"/>
    <xf numFmtId="0" fontId="0" fillId="0" borderId="2" xfId="0" applyBorder="1"/>
    <xf numFmtId="9" fontId="0" fillId="0" borderId="2" xfId="0" applyNumberFormat="1" applyBorder="1" applyAlignment="1">
      <alignment vertical="center" wrapText="1"/>
    </xf>
    <xf numFmtId="0" fontId="0" fillId="0" borderId="2" xfId="0" applyBorder="1" applyAlignment="1">
      <alignment vertical="top" wrapText="1"/>
    </xf>
    <xf numFmtId="4" fontId="0" fillId="0" borderId="2" xfId="0" applyNumberFormat="1" applyBorder="1" applyAlignment="1">
      <alignment vertical="top" wrapText="1"/>
    </xf>
    <xf numFmtId="0" fontId="4" fillId="0" borderId="0" xfId="0" applyFont="1"/>
    <xf numFmtId="165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7" fontId="0" fillId="0" borderId="2" xfId="0" applyNumberFormat="1" applyBorder="1" applyAlignment="1">
      <alignment vertical="top" wrapText="1"/>
    </xf>
    <xf numFmtId="0" fontId="10" fillId="6" borderId="4" xfId="0" applyFont="1" applyFill="1" applyBorder="1" applyAlignment="1">
      <alignment vertical="center" wrapText="1"/>
    </xf>
    <xf numFmtId="3" fontId="10" fillId="6" borderId="4" xfId="0" applyNumberFormat="1" applyFont="1" applyFill="1" applyBorder="1" applyAlignment="1">
      <alignment vertical="center" wrapText="1"/>
    </xf>
    <xf numFmtId="167" fontId="10" fillId="6" borderId="4" xfId="0" applyNumberFormat="1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3" fontId="3" fillId="2" borderId="4" xfId="0" applyNumberFormat="1" applyFont="1" applyFill="1" applyBorder="1" applyAlignment="1">
      <alignment vertical="center" wrapText="1"/>
    </xf>
    <xf numFmtId="167" fontId="3" fillId="2" borderId="4" xfId="0" applyNumberFormat="1" applyFont="1" applyFill="1" applyBorder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0" fillId="0" borderId="0" xfId="0" applyAlignment="1">
      <alignment wrapText="1"/>
    </xf>
    <xf numFmtId="9" fontId="0" fillId="0" borderId="2" xfId="0" applyNumberFormat="1" applyBorder="1"/>
    <xf numFmtId="9" fontId="0" fillId="0" borderId="0" xfId="0" applyNumberFormat="1" applyAlignment="1">
      <alignment wrapText="1"/>
    </xf>
    <xf numFmtId="0" fontId="13" fillId="7" borderId="8" xfId="0" applyFont="1" applyFill="1" applyBorder="1" applyAlignment="1">
      <alignment horizontal="center" vertical="center" wrapText="1"/>
    </xf>
    <xf numFmtId="9" fontId="14" fillId="0" borderId="0" xfId="0" applyNumberFormat="1" applyFont="1" applyAlignment="1">
      <alignment horizontal="right" vertical="center" wrapText="1"/>
    </xf>
    <xf numFmtId="9" fontId="14" fillId="0" borderId="5" xfId="0" applyNumberFormat="1" applyFont="1" applyBorder="1" applyAlignment="1">
      <alignment horizontal="right" vertical="center" wrapText="1"/>
    </xf>
    <xf numFmtId="0" fontId="0" fillId="0" borderId="0" xfId="0" applyAlignment="1">
      <alignment vertical="center" wrapText="1"/>
    </xf>
    <xf numFmtId="0" fontId="15" fillId="0" borderId="0" xfId="0" applyFont="1" applyAlignment="1">
      <alignment horizontal="center"/>
    </xf>
    <xf numFmtId="0" fontId="16" fillId="9" borderId="2" xfId="0" applyFont="1" applyFill="1" applyBorder="1" applyAlignment="1">
      <alignment vertical="center" wrapText="1"/>
    </xf>
    <xf numFmtId="0" fontId="17" fillId="9" borderId="2" xfId="0" applyFont="1" applyFill="1" applyBorder="1" applyAlignment="1">
      <alignment vertical="center" wrapText="1"/>
    </xf>
    <xf numFmtId="0" fontId="16" fillId="10" borderId="2" xfId="0" applyFont="1" applyFill="1" applyBorder="1" applyAlignment="1">
      <alignment vertical="center" wrapText="1"/>
    </xf>
    <xf numFmtId="0" fontId="17" fillId="10" borderId="2" xfId="0" applyFont="1" applyFill="1" applyBorder="1" applyAlignment="1">
      <alignment vertical="center" wrapText="1"/>
    </xf>
    <xf numFmtId="0" fontId="18" fillId="11" borderId="1" xfId="0" applyFont="1" applyFill="1" applyBorder="1" applyAlignment="1">
      <alignment vertical="center" wrapText="1"/>
    </xf>
    <xf numFmtId="0" fontId="16" fillId="10" borderId="0" xfId="0" applyFont="1" applyFill="1" applyAlignment="1">
      <alignment vertical="center" wrapText="1"/>
    </xf>
    <xf numFmtId="0" fontId="16" fillId="9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/>
    <xf numFmtId="0" fontId="1" fillId="2" borderId="0" xfId="0" applyFont="1" applyFill="1" applyAlignment="1">
      <alignment vertical="center"/>
    </xf>
    <xf numFmtId="0" fontId="8" fillId="0" borderId="0" xfId="0" applyFont="1" applyAlignment="1">
      <alignment vertical="center" wrapText="1"/>
    </xf>
    <xf numFmtId="0" fontId="3" fillId="5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0" borderId="2" xfId="0" applyBorder="1" applyAlignment="1">
      <alignment vertical="top" wrapText="1"/>
    </xf>
    <xf numFmtId="0" fontId="0" fillId="0" borderId="5" xfId="0" applyBorder="1"/>
    <xf numFmtId="0" fontId="10" fillId="6" borderId="3" xfId="0" applyFont="1" applyFill="1" applyBorder="1" applyAlignment="1">
      <alignment vertical="center" wrapText="1"/>
    </xf>
    <xf numFmtId="0" fontId="0" fillId="0" borderId="6" xfId="0" applyBorder="1"/>
    <xf numFmtId="0" fontId="11" fillId="6" borderId="3" xfId="0" applyFont="1" applyFill="1" applyBorder="1" applyAlignment="1">
      <alignment vertical="center" wrapText="1"/>
    </xf>
    <xf numFmtId="0" fontId="0" fillId="0" borderId="7" xfId="0" applyBorder="1"/>
    <xf numFmtId="0" fontId="12" fillId="0" borderId="0" xfId="0" applyFont="1" applyAlignment="1">
      <alignment horizontal="center" vertical="center"/>
    </xf>
    <xf numFmtId="0" fontId="9" fillId="5" borderId="0" xfId="0" applyFont="1" applyFill="1"/>
    <xf numFmtId="0" fontId="10" fillId="0" borderId="0" xfId="0" applyFont="1"/>
    <xf numFmtId="0" fontId="9" fillId="3" borderId="0" xfId="0" applyFont="1" applyFill="1"/>
    <xf numFmtId="0" fontId="3" fillId="3" borderId="1" xfId="0" applyFont="1" applyFill="1" applyBorder="1" applyAlignment="1">
      <alignment vertical="center" wrapText="1"/>
    </xf>
    <xf numFmtId="0" fontId="0" fillId="0" borderId="8" xfId="0" applyBorder="1"/>
    <xf numFmtId="0" fontId="1" fillId="8" borderId="0" xfId="0" applyFont="1" applyFill="1" applyAlignment="1">
      <alignment vertical="center"/>
    </xf>
    <xf numFmtId="0" fontId="0" fillId="0" borderId="9" xfId="0" applyBorder="1" applyAlignment="1">
      <alignment vertical="top" wrapText="1"/>
    </xf>
    <xf numFmtId="165" fontId="0" fillId="0" borderId="9" xfId="0" applyNumberFormat="1" applyBorder="1" applyAlignment="1">
      <alignment vertical="top" wrapText="1"/>
    </xf>
    <xf numFmtId="0" fontId="20" fillId="0" borderId="0" xfId="0" applyFont="1"/>
    <xf numFmtId="0" fontId="19" fillId="0" borderId="0" xfId="0" applyFont="1"/>
    <xf numFmtId="0" fontId="19" fillId="0" borderId="0" xfId="0" applyFont="1" applyAlignment="1">
      <alignment wrapText="1"/>
    </xf>
    <xf numFmtId="0" fontId="19" fillId="12" borderId="0" xfId="0" applyFont="1" applyFill="1" applyAlignment="1">
      <alignment wrapText="1"/>
    </xf>
    <xf numFmtId="0" fontId="19" fillId="0" borderId="2" xfId="0" applyFont="1" applyBorder="1" applyAlignment="1">
      <alignment vertical="top" wrapText="1"/>
    </xf>
  </cellXfs>
  <cellStyles count="2">
    <cellStyle name="Hyperlink" xfId="1" xr:uid="{00000000-0005-0000-0000-000001000000}"/>
    <cellStyle name="Normal" xfId="0" builtinId="0"/>
  </cellStyles>
  <dxfs count="150">
    <dxf>
      <fill>
        <patternFill patternType="solid">
          <bgColor rgb="FFE7E6E6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DDEBF7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7E6E6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DDEBF7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7E6E6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DDEBF7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7E6E6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DDEBF7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7E6E6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DDEBF7"/>
        </patternFill>
      </fill>
    </dxf>
    <dxf>
      <fill>
        <patternFill patternType="solid">
          <bgColor rgb="FFFFF2CC"/>
        </patternFill>
      </fill>
    </dxf>
    <dxf>
      <fill>
        <patternFill>
          <bgColor rgb="FFD9E1F2"/>
        </patternFill>
      </fill>
    </dxf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D9EAF7"/>
        </patternFill>
      </fill>
    </dxf>
    <dxf>
      <fill>
        <patternFill>
          <bgColor rgb="FFFFF2CC"/>
        </patternFill>
      </fill>
    </dxf>
    <dxf>
      <fill>
        <patternFill>
          <bgColor rgb="FFD9E1F2"/>
        </patternFill>
      </fill>
    </dxf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D9EAF7"/>
        </patternFill>
      </fill>
    </dxf>
    <dxf>
      <fill>
        <patternFill>
          <bgColor rgb="FFFFF2CC"/>
        </patternFill>
      </fill>
    </dxf>
    <dxf>
      <fill>
        <patternFill>
          <bgColor rgb="FFD9E1F2"/>
        </patternFill>
      </fill>
    </dxf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D9EAF7"/>
        </patternFill>
      </fill>
    </dxf>
    <dxf>
      <fill>
        <patternFill>
          <bgColor rgb="FFFFF2CC"/>
        </patternFill>
      </fill>
    </dxf>
    <dxf>
      <fill>
        <patternFill>
          <bgColor rgb="FFD9E1F2"/>
        </patternFill>
      </fill>
    </dxf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D9EAF7"/>
        </patternFill>
      </fill>
    </dxf>
    <dxf>
      <fill>
        <patternFill>
          <bgColor rgb="FFFFF2CC"/>
        </patternFill>
      </fill>
    </dxf>
    <dxf>
      <fill>
        <patternFill>
          <bgColor rgb="FFD9E1F2"/>
        </patternFill>
      </fill>
    </dxf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D9EAF7"/>
        </patternFill>
      </fill>
    </dxf>
    <dxf>
      <fill>
        <patternFill>
          <bgColor rgb="FFFFF2CC"/>
        </patternFill>
      </fill>
    </dxf>
    <dxf>
      <fill>
        <patternFill>
          <bgColor rgb="FFD9E1F2"/>
        </patternFill>
      </fill>
    </dxf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D9EAF7"/>
        </patternFill>
      </fill>
    </dxf>
    <dxf>
      <fill>
        <patternFill>
          <bgColor rgb="FFFFF2CC"/>
        </patternFill>
      </fill>
    </dxf>
    <dxf>
      <fill>
        <patternFill>
          <bgColor rgb="FFD9E1F2"/>
        </patternFill>
      </fill>
    </dxf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D9EAF7"/>
        </patternFill>
      </fill>
    </dxf>
    <dxf>
      <fill>
        <patternFill>
          <bgColor rgb="FFFFF2CC"/>
        </patternFill>
      </fill>
    </dxf>
    <dxf>
      <fill>
        <patternFill>
          <bgColor rgb="FFD9E1F2"/>
        </patternFill>
      </fill>
    </dxf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D9EAF7"/>
        </patternFill>
      </fill>
    </dxf>
    <dxf>
      <fill>
        <patternFill>
          <bgColor rgb="FFFFF2CC"/>
        </patternFill>
      </fill>
    </dxf>
    <dxf>
      <fill>
        <patternFill>
          <bgColor rgb="FFD9E1F2"/>
        </patternFill>
      </fill>
    </dxf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D9EAF7"/>
        </patternFill>
      </fill>
    </dxf>
    <dxf>
      <fill>
        <patternFill>
          <bgColor rgb="FFFFF2CC"/>
        </patternFill>
      </fill>
    </dxf>
    <dxf>
      <fill>
        <patternFill>
          <bgColor rgb="FFD9E1F2"/>
        </patternFill>
      </fill>
    </dxf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D9EAF7"/>
        </patternFill>
      </fill>
    </dxf>
    <dxf>
      <fill>
        <patternFill>
          <bgColor rgb="FFFFF2CC"/>
        </patternFill>
      </fill>
    </dxf>
    <dxf>
      <fill>
        <patternFill>
          <bgColor rgb="FFD9E1F2"/>
        </patternFill>
      </fill>
    </dxf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D9EAF7"/>
        </patternFill>
      </fill>
    </dxf>
    <dxf>
      <fill>
        <patternFill>
          <bgColor rgb="FFFFF2CC"/>
        </patternFill>
      </fill>
    </dxf>
    <dxf>
      <fill>
        <patternFill>
          <bgColor rgb="FFD9E1F2"/>
        </patternFill>
      </fill>
    </dxf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D9EAF7"/>
        </patternFill>
      </fill>
    </dxf>
    <dxf>
      <fill>
        <patternFill>
          <bgColor rgb="FFFFF2CC"/>
        </patternFill>
      </fill>
    </dxf>
    <dxf>
      <fill>
        <patternFill>
          <bgColor rgb="FFD9E1F2"/>
        </patternFill>
      </fill>
    </dxf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D9EAF7"/>
        </patternFill>
      </fill>
    </dxf>
    <dxf>
      <fill>
        <patternFill>
          <bgColor rgb="FFFFF2CC"/>
        </patternFill>
      </fill>
    </dxf>
    <dxf>
      <fill>
        <patternFill>
          <bgColor rgb="FFD9E1F2"/>
        </patternFill>
      </fill>
    </dxf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D9EAF7"/>
        </patternFill>
      </fill>
    </dxf>
    <dxf>
      <fill>
        <patternFill>
          <bgColor rgb="FFFFF2CC"/>
        </patternFill>
      </fill>
    </dxf>
    <dxf>
      <fill>
        <patternFill>
          <bgColor rgb="FFD9E1F2"/>
        </patternFill>
      </fill>
    </dxf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D9EAF7"/>
        </patternFill>
      </fill>
    </dxf>
    <dxf>
      <fill>
        <patternFill>
          <bgColor rgb="FFFFF2CC"/>
        </patternFill>
      </fill>
    </dxf>
    <dxf>
      <fill>
        <patternFill>
          <bgColor rgb="FFD9E1F2"/>
        </patternFill>
      </fill>
    </dxf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D9EAF7"/>
        </patternFill>
      </fill>
    </dxf>
    <dxf>
      <fill>
        <patternFill>
          <bgColor rgb="FFFFF2CC"/>
        </patternFill>
      </fill>
    </dxf>
    <dxf>
      <fill>
        <patternFill>
          <bgColor rgb="FFD9E1F2"/>
        </patternFill>
      </fill>
    </dxf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D9EAF7"/>
        </patternFill>
      </fill>
    </dxf>
    <dxf>
      <fill>
        <patternFill>
          <bgColor rgb="FFFFF2CC"/>
        </patternFill>
      </fill>
    </dxf>
    <dxf>
      <fill>
        <patternFill>
          <bgColor rgb="FFD9E1F2"/>
        </patternFill>
      </fill>
    </dxf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D9EAF7"/>
        </patternFill>
      </fill>
    </dxf>
    <dxf>
      <fill>
        <patternFill>
          <bgColor rgb="FFFFF2CC"/>
        </patternFill>
      </fill>
    </dxf>
    <dxf>
      <fill>
        <patternFill>
          <bgColor rgb="FFD9E1F2"/>
        </patternFill>
      </fill>
    </dxf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D9EAF7"/>
        </patternFill>
      </fill>
    </dxf>
    <dxf>
      <fill>
        <patternFill>
          <bgColor rgb="FFFFF2CC"/>
        </patternFill>
      </fill>
    </dxf>
    <dxf>
      <fill>
        <patternFill>
          <bgColor rgb="FFD9E1F2"/>
        </patternFill>
      </fill>
    </dxf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D9EAF7"/>
        </patternFill>
      </fill>
    </dxf>
    <dxf>
      <fill>
        <patternFill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r>
              <a:rPr lang="es-ES"/>
              <a:t>Distribución de estados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Dashboard!$E$4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prstDash val="solid"/>
            </a:ln>
          </c:spPr>
          <c:cat>
            <c:strRef>
              <c:f>Dashboard!$D$5:$D$10</c:f>
              <c:strCache>
                <c:ptCount val="6"/>
                <c:pt idx="0">
                  <c:v>Pendiente</c:v>
                </c:pt>
                <c:pt idx="1">
                  <c:v>En curso</c:v>
                </c:pt>
                <c:pt idx="2">
                  <c:v>Bloqueado</c:v>
                </c:pt>
                <c:pt idx="3">
                  <c:v>Por validar</c:v>
                </c:pt>
                <c:pt idx="4">
                  <c:v>Resuelto</c:v>
                </c:pt>
                <c:pt idx="5">
                  <c:v>Descartado</c:v>
                </c:pt>
              </c:strCache>
            </c:strRef>
          </c:cat>
          <c:val>
            <c:numRef>
              <c:f>Dashboard!$E$5:$E$10</c:f>
              <c:numCache>
                <c:formatCode>General</c:formatCode>
                <c:ptCount val="6"/>
                <c:pt idx="0">
                  <c:v>61</c:v>
                </c:pt>
                <c:pt idx="1">
                  <c:v>0</c:v>
                </c:pt>
                <c:pt idx="2">
                  <c:v>0</c:v>
                </c:pt>
                <c:pt idx="3">
                  <c:v>46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40-4B1F-A7F1-5DC56317F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10"/>
      </c:doughnutChart>
    </c:plotArea>
    <c:legend>
      <c:legendPos val="r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3</xdr:row>
      <xdr:rowOff>0</xdr:rowOff>
    </xdr:from>
    <xdr:ext cx="3960000" cy="2520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33</xdr:row>
      <xdr:rowOff>0</xdr:rowOff>
    </xdr:from>
    <xdr:ext cx="8572500" cy="6943725"/>
    <xdr:pic>
      <xdr:nvPicPr>
        <xdr:cNvPr id="2" name="/xl/media/image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72</xdr:row>
      <xdr:rowOff>0</xdr:rowOff>
    </xdr:from>
    <xdr:ext cx="8572500" cy="6943725"/>
    <xdr:pic>
      <xdr:nvPicPr>
        <xdr:cNvPr id="3" name="/xl/media/image2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111</xdr:row>
      <xdr:rowOff>0</xdr:rowOff>
    </xdr:from>
    <xdr:ext cx="8572500" cy="6943725"/>
    <xdr:pic>
      <xdr:nvPicPr>
        <xdr:cNvPr id="4" name="/xl/media/image3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150</xdr:row>
      <xdr:rowOff>0</xdr:rowOff>
    </xdr:from>
    <xdr:ext cx="8572500" cy="6943725"/>
    <xdr:pic>
      <xdr:nvPicPr>
        <xdr:cNvPr id="5" name="/xl/media/image4.pn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Indice" displayName="T_Indice" ref="A4:E25">
  <autoFilter ref="A4:E25" xr:uid="{00000000-0009-0000-0100-000001000000}"/>
  <tableColumns count="5">
    <tableColumn id="1" xr3:uid="{00000000-0010-0000-0000-000001000000}" name="Sección"/>
    <tableColumn id="2" xr3:uid="{00000000-0010-0000-0000-000002000000}" name="Qué contiene"/>
    <tableColumn id="3" xr3:uid="{00000000-0010-0000-0000-000003000000}" name="N.º de tareas"/>
    <tableColumn id="4" xr3:uid="{00000000-0010-0000-0000-000004000000}" name="Pendientes / por validar"/>
    <tableColumn id="5" xr3:uid="{00000000-0010-0000-0000-000005000000}" name="Ir a sec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_ArquitecturaTareas" displayName="T_ArquitecturaTareas" ref="A154:H158">
  <autoFilter ref="A154:H158" xr:uid="{00000000-0009-0000-0100-000002000000}"/>
  <tableColumns count="8">
    <tableColumn id="1" xr3:uid="{00000000-0010-0000-0100-000001000000}" name="Incidencia / ID"/>
    <tableColumn id="2" xr3:uid="{00000000-0010-0000-0100-000002000000}" name="Descripción"/>
    <tableColumn id="3" xr3:uid="{00000000-0010-0000-0100-000003000000}" name="Estado"/>
    <tableColumn id="4" xr3:uid="{00000000-0010-0000-0100-000004000000}" name="Prioridad"/>
    <tableColumn id="5" xr3:uid="{00000000-0010-0000-0100-000005000000}" name="Responsable"/>
    <tableColumn id="6" xr3:uid="{00000000-0010-0000-0100-000006000000}" name="Estimación (h)"/>
    <tableColumn id="7" xr3:uid="{00000000-0010-0000-0100-000007000000}" name="Observaciones / fuente"/>
    <tableColumn id="8" xr3:uid="{00000000-0010-0000-0100-000008000000}" name="Fecha objetiv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_LoginyAutenticacin" displayName="T_LoginyAutenticacin" ref="A4:H8">
  <autoFilter ref="A4:H8" xr:uid="{00000000-0009-0000-0100-000003000000}"/>
  <tableColumns count="8">
    <tableColumn id="1" xr3:uid="{00000000-0010-0000-0200-000001000000}" name="Incidencia / ID"/>
    <tableColumn id="2" xr3:uid="{00000000-0010-0000-0200-000002000000}" name="Descripción"/>
    <tableColumn id="3" xr3:uid="{00000000-0010-0000-0200-000003000000}" name="Estado"/>
    <tableColumn id="4" xr3:uid="{00000000-0010-0000-0200-000004000000}" name="Prioridad"/>
    <tableColumn id="5" xr3:uid="{00000000-0010-0000-0200-000005000000}" name="Responsable"/>
    <tableColumn id="6" xr3:uid="{00000000-0010-0000-0200-000006000000}" name="Estimación (h)"/>
    <tableColumn id="7" xr3:uid="{00000000-0010-0000-0200-000007000000}" name="Observaciones / fuente"/>
    <tableColumn id="8" xr3:uid="{00000000-0010-0000-0200-000008000000}" name="Fecha objetiv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_Correo" displayName="T_Correo" ref="A4:H9">
  <autoFilter ref="A4:H9" xr:uid="{00000000-0009-0000-0100-000004000000}"/>
  <tableColumns count="8">
    <tableColumn id="1" xr3:uid="{00000000-0010-0000-0300-000001000000}" name="Incidencia / ID"/>
    <tableColumn id="2" xr3:uid="{00000000-0010-0000-0300-000002000000}" name="Descripción"/>
    <tableColumn id="3" xr3:uid="{00000000-0010-0000-0300-000003000000}" name="Estado"/>
    <tableColumn id="4" xr3:uid="{00000000-0010-0000-0300-000004000000}" name="Prioridad"/>
    <tableColumn id="5" xr3:uid="{00000000-0010-0000-0300-000005000000}" name="Responsable"/>
    <tableColumn id="6" xr3:uid="{00000000-0010-0000-0300-000006000000}" name="Estimación (h)"/>
    <tableColumn id="7" xr3:uid="{00000000-0010-0000-0300-000007000000}" name="Observaciones / fuente"/>
    <tableColumn id="8" xr3:uid="{00000000-0010-0000-0300-000008000000}" name="Fecha objetiv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_Empleados" displayName="T_Empleados" ref="A4:H7">
  <autoFilter ref="A4:H7" xr:uid="{00000000-0009-0000-0100-000005000000}"/>
  <tableColumns count="8">
    <tableColumn id="1" xr3:uid="{00000000-0010-0000-0400-000001000000}" name="Incidencia / ID"/>
    <tableColumn id="2" xr3:uid="{00000000-0010-0000-0400-000002000000}" name="Descripción"/>
    <tableColumn id="3" xr3:uid="{00000000-0010-0000-0400-000003000000}" name="Estado"/>
    <tableColumn id="4" xr3:uid="{00000000-0010-0000-0400-000004000000}" name="Prioridad"/>
    <tableColumn id="5" xr3:uid="{00000000-0010-0000-0400-000005000000}" name="Responsable"/>
    <tableColumn id="6" xr3:uid="{00000000-0010-0000-0400-000006000000}" name="Estimación (h)"/>
    <tableColumn id="7" xr3:uid="{00000000-0010-0000-0400-000007000000}" name="Observaciones / fuente"/>
    <tableColumn id="8" xr3:uid="{00000000-0010-0000-0400-000008000000}" name="Fecha objetiv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_BoletinesTT" displayName="T_BoletinesTT" ref="A4:H6">
  <autoFilter ref="A4:H6" xr:uid="{00000000-0009-0000-0100-000006000000}"/>
  <tableColumns count="8">
    <tableColumn id="1" xr3:uid="{00000000-0010-0000-0500-000001000000}" name="Incidencia / ID"/>
    <tableColumn id="2" xr3:uid="{00000000-0010-0000-0500-000002000000}" name="Descripción"/>
    <tableColumn id="3" xr3:uid="{00000000-0010-0000-0500-000003000000}" name="Estado"/>
    <tableColumn id="4" xr3:uid="{00000000-0010-0000-0500-000004000000}" name="Prioridad"/>
    <tableColumn id="5" xr3:uid="{00000000-0010-0000-0500-000005000000}" name="Responsable"/>
    <tableColumn id="6" xr3:uid="{00000000-0010-0000-0500-000006000000}" name="Estimación (h)"/>
    <tableColumn id="7" xr3:uid="{00000000-0010-0000-0500-000007000000}" name="Observaciones / fuente"/>
    <tableColumn id="8" xr3:uid="{00000000-0010-0000-0500-000008000000}" name="Fecha objetiv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_Turnos" displayName="T_Turnos" ref="A4:H6">
  <autoFilter ref="A4:H6" xr:uid="{00000000-0009-0000-0100-000007000000}"/>
  <tableColumns count="8">
    <tableColumn id="1" xr3:uid="{00000000-0010-0000-0600-000001000000}" name="Incidencia / ID"/>
    <tableColumn id="2" xr3:uid="{00000000-0010-0000-0600-000002000000}" name="Descripción"/>
    <tableColumn id="3" xr3:uid="{00000000-0010-0000-0600-000003000000}" name="Estado"/>
    <tableColumn id="4" xr3:uid="{00000000-0010-0000-0600-000004000000}" name="Prioridad"/>
    <tableColumn id="5" xr3:uid="{00000000-0010-0000-0600-000005000000}" name="Responsable"/>
    <tableColumn id="6" xr3:uid="{00000000-0010-0000-0600-000006000000}" name="Estimación (h)"/>
    <tableColumn id="7" xr3:uid="{00000000-0010-0000-0600-000007000000}" name="Observaciones / fuente"/>
    <tableColumn id="8" xr3:uid="{00000000-0010-0000-0600-000008000000}" name="Fecha objetivo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_Fichajes" displayName="T_Fichajes" ref="A4:H8">
  <autoFilter ref="A4:H8" xr:uid="{00000000-0009-0000-0100-000008000000}"/>
  <tableColumns count="8">
    <tableColumn id="1" xr3:uid="{00000000-0010-0000-0700-000001000000}" name="Incidencia / ID"/>
    <tableColumn id="2" xr3:uid="{00000000-0010-0000-0700-000002000000}" name="Descripción"/>
    <tableColumn id="3" xr3:uid="{00000000-0010-0000-0700-000003000000}" name="Estado"/>
    <tableColumn id="4" xr3:uid="{00000000-0010-0000-0700-000004000000}" name="Prioridad"/>
    <tableColumn id="5" xr3:uid="{00000000-0010-0000-0700-000005000000}" name="Responsable"/>
    <tableColumn id="6" xr3:uid="{00000000-0010-0000-0700-000006000000}" name="Estimación (h)"/>
    <tableColumn id="7" xr3:uid="{00000000-0010-0000-0700-000007000000}" name="Observaciones / fuente"/>
    <tableColumn id="8" xr3:uid="{00000000-0010-0000-0700-000008000000}" name="Fecha objetivo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_Nominas" displayName="T_Nominas" ref="A4:H8">
  <autoFilter ref="A4:H8" xr:uid="{00000000-0009-0000-0100-000009000000}"/>
  <tableColumns count="8">
    <tableColumn id="1" xr3:uid="{00000000-0010-0000-0800-000001000000}" name="Incidencia / ID"/>
    <tableColumn id="2" xr3:uid="{00000000-0010-0000-0800-000002000000}" name="Descripción"/>
    <tableColumn id="3" xr3:uid="{00000000-0010-0000-0800-000003000000}" name="Estado"/>
    <tableColumn id="4" xr3:uid="{00000000-0010-0000-0800-000004000000}" name="Prioridad"/>
    <tableColumn id="5" xr3:uid="{00000000-0010-0000-0800-000005000000}" name="Responsable"/>
    <tableColumn id="6" xr3:uid="{00000000-0010-0000-0800-000006000000}" name="Estimación (h)"/>
    <tableColumn id="7" xr3:uid="{00000000-0010-0000-0800-000007000000}" name="Observaciones / fuente"/>
    <tableColumn id="8" xr3:uid="{00000000-0010-0000-0800-000008000000}" name="Fecha objetivo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_VacacionesyAsuntosPr" displayName="T_VacacionesyAsuntosPr" ref="A4:H6">
  <autoFilter ref="A4:H6" xr:uid="{00000000-0009-0000-0100-00000A000000}"/>
  <tableColumns count="8">
    <tableColumn id="1" xr3:uid="{00000000-0010-0000-0900-000001000000}" name="Incidencia / ID"/>
    <tableColumn id="2" xr3:uid="{00000000-0010-0000-0900-000002000000}" name="Descripción"/>
    <tableColumn id="3" xr3:uid="{00000000-0010-0000-0900-000003000000}" name="Estado"/>
    <tableColumn id="4" xr3:uid="{00000000-0010-0000-0900-000004000000}" name="Prioridad"/>
    <tableColumn id="5" xr3:uid="{00000000-0010-0000-0900-000005000000}" name="Responsable"/>
    <tableColumn id="6" xr3:uid="{00000000-0010-0000-0900-000006000000}" name="Estimación (h)"/>
    <tableColumn id="7" xr3:uid="{00000000-0010-0000-0900-000007000000}" name="Observaciones / fuente"/>
    <tableColumn id="8" xr3:uid="{00000000-0010-0000-0900-000008000000}" name="Fecha objetivo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_Absentismo" displayName="T_Absentismo" ref="A4:H6">
  <autoFilter ref="A4:H6" xr:uid="{00000000-0009-0000-0100-00000B000000}"/>
  <tableColumns count="8">
    <tableColumn id="1" xr3:uid="{00000000-0010-0000-0A00-000001000000}" name="Incidencia / ID"/>
    <tableColumn id="2" xr3:uid="{00000000-0010-0000-0A00-000002000000}" name="Descripción"/>
    <tableColumn id="3" xr3:uid="{00000000-0010-0000-0A00-000003000000}" name="Estado"/>
    <tableColumn id="4" xr3:uid="{00000000-0010-0000-0A00-000004000000}" name="Prioridad"/>
    <tableColumn id="5" xr3:uid="{00000000-0010-0000-0A00-000005000000}" name="Responsable"/>
    <tableColumn id="6" xr3:uid="{00000000-0010-0000-0A00-000006000000}" name="Estimación (h)"/>
    <tableColumn id="7" xr3:uid="{00000000-0010-0000-0A00-000007000000}" name="Observaciones / fuente"/>
    <tableColumn id="8" xr3:uid="{00000000-0010-0000-0A00-000008000000}" name="Fecha objetivo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_InformesyReporting" displayName="T_InformesyReporting" ref="A4:H7">
  <autoFilter ref="A4:H7" xr:uid="{00000000-0009-0000-0100-00000C000000}"/>
  <tableColumns count="8">
    <tableColumn id="1" xr3:uid="{00000000-0010-0000-0B00-000001000000}" name="Incidencia / ID"/>
    <tableColumn id="2" xr3:uid="{00000000-0010-0000-0B00-000002000000}" name="Descripción"/>
    <tableColumn id="3" xr3:uid="{00000000-0010-0000-0B00-000003000000}" name="Estado"/>
    <tableColumn id="4" xr3:uid="{00000000-0010-0000-0B00-000004000000}" name="Prioridad"/>
    <tableColumn id="5" xr3:uid="{00000000-0010-0000-0B00-000005000000}" name="Responsable"/>
    <tableColumn id="6" xr3:uid="{00000000-0010-0000-0B00-000006000000}" name="Estimación (h)"/>
    <tableColumn id="7" xr3:uid="{00000000-0010-0000-0B00-000007000000}" name="Observaciones / fuente"/>
    <tableColumn id="8" xr3:uid="{00000000-0010-0000-0B00-000008000000}" name="Fecha objetivo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_TratamientodeAdjunto" displayName="T_TratamientodeAdjunto" ref="A4:H7">
  <autoFilter ref="A4:H7" xr:uid="{00000000-0009-0000-0100-00000D000000}"/>
  <tableColumns count="8">
    <tableColumn id="1" xr3:uid="{00000000-0010-0000-0C00-000001000000}" name="Incidencia / ID"/>
    <tableColumn id="2" xr3:uid="{00000000-0010-0000-0C00-000002000000}" name="Descripción"/>
    <tableColumn id="3" xr3:uid="{00000000-0010-0000-0C00-000003000000}" name="Estado"/>
    <tableColumn id="4" xr3:uid="{00000000-0010-0000-0C00-000004000000}" name="Prioridad"/>
    <tableColumn id="5" xr3:uid="{00000000-0010-0000-0C00-000005000000}" name="Responsable"/>
    <tableColumn id="6" xr3:uid="{00000000-0010-0000-0C00-000006000000}" name="Estimación (h)"/>
    <tableColumn id="7" xr3:uid="{00000000-0010-0000-0C00-000007000000}" name="Observaciones / fuente"/>
    <tableColumn id="8" xr3:uid="{00000000-0010-0000-0C00-000008000000}" name="Fecha objetivo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_NoticiasyNewsletter" displayName="T_NoticiasyNewsletter" ref="A4:H6">
  <autoFilter ref="A4:H6" xr:uid="{00000000-0009-0000-0100-00000E000000}"/>
  <tableColumns count="8">
    <tableColumn id="1" xr3:uid="{00000000-0010-0000-0D00-000001000000}" name="Incidencia / ID"/>
    <tableColumn id="2" xr3:uid="{00000000-0010-0000-0D00-000002000000}" name="Descripción"/>
    <tableColumn id="3" xr3:uid="{00000000-0010-0000-0D00-000003000000}" name="Estado"/>
    <tableColumn id="4" xr3:uid="{00000000-0010-0000-0D00-000004000000}" name="Prioridad"/>
    <tableColumn id="5" xr3:uid="{00000000-0010-0000-0D00-000005000000}" name="Responsable"/>
    <tableColumn id="6" xr3:uid="{00000000-0010-0000-0D00-000006000000}" name="Estimación (h)"/>
    <tableColumn id="7" xr3:uid="{00000000-0010-0000-0D00-000007000000}" name="Observaciones / fuente"/>
    <tableColumn id="8" xr3:uid="{00000000-0010-0000-0D00-000008000000}" name="Fecha objetivo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_Gobernanza" displayName="T_Gobernanza" ref="A4:H8">
  <autoFilter ref="A4:H8" xr:uid="{00000000-0009-0000-0100-00000F000000}"/>
  <tableColumns count="8">
    <tableColumn id="1" xr3:uid="{00000000-0010-0000-0E00-000001000000}" name="Incidencia / ID"/>
    <tableColumn id="2" xr3:uid="{00000000-0010-0000-0E00-000002000000}" name="Descripción"/>
    <tableColumn id="3" xr3:uid="{00000000-0010-0000-0E00-000003000000}" name="Estado"/>
    <tableColumn id="4" xr3:uid="{00000000-0010-0000-0E00-000004000000}" name="Prioridad"/>
    <tableColumn id="5" xr3:uid="{00000000-0010-0000-0E00-000005000000}" name="Responsable"/>
    <tableColumn id="6" xr3:uid="{00000000-0010-0000-0E00-000006000000}" name="Estimación (h)"/>
    <tableColumn id="7" xr3:uid="{00000000-0010-0000-0E00-000007000000}" name="Observaciones / fuente"/>
    <tableColumn id="8" xr3:uid="{00000000-0010-0000-0E00-000008000000}" name="Fecha objetivo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_Auditorias" displayName="T_Auditorias" ref="A4:H8">
  <autoFilter ref="A4:H8" xr:uid="{00000000-0009-0000-0100-000010000000}"/>
  <tableColumns count="8">
    <tableColumn id="1" xr3:uid="{00000000-0010-0000-0F00-000001000000}" name="Incidencia / ID"/>
    <tableColumn id="2" xr3:uid="{00000000-0010-0000-0F00-000002000000}" name="Descripción"/>
    <tableColumn id="3" xr3:uid="{00000000-0010-0000-0F00-000003000000}" name="Estado"/>
    <tableColumn id="4" xr3:uid="{00000000-0010-0000-0F00-000004000000}" name="Prioridad"/>
    <tableColumn id="5" xr3:uid="{00000000-0010-0000-0F00-000005000000}" name="Responsable"/>
    <tableColumn id="6" xr3:uid="{00000000-0010-0000-0F00-000006000000}" name="Estimación (h)"/>
    <tableColumn id="7" xr3:uid="{00000000-0010-0000-0F00-000007000000}" name="Observaciones / fuente"/>
    <tableColumn id="8" xr3:uid="{00000000-0010-0000-0F00-000008000000}" name="Fecha objetiv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_Seguridad" displayName="T_Seguridad" ref="A4:H14">
  <autoFilter ref="A4:H14" xr:uid="{00000000-0009-0000-0100-000011000000}"/>
  <tableColumns count="8">
    <tableColumn id="1" xr3:uid="{00000000-0010-0000-1000-000001000000}" name="Incidencia / ID"/>
    <tableColumn id="2" xr3:uid="{00000000-0010-0000-1000-000002000000}" name="Descripción"/>
    <tableColumn id="3" xr3:uid="{00000000-0010-0000-1000-000003000000}" name="Estado"/>
    <tableColumn id="4" xr3:uid="{00000000-0010-0000-1000-000004000000}" name="Prioridad"/>
    <tableColumn id="5" xr3:uid="{00000000-0010-0000-1000-000005000000}" name="Responsable"/>
    <tableColumn id="6" xr3:uid="{00000000-0010-0000-1000-000006000000}" name="Estimación (h)"/>
    <tableColumn id="7" xr3:uid="{00000000-0010-0000-1000-000007000000}" name="Observaciones / fuente"/>
    <tableColumn id="8" xr3:uid="{00000000-0010-0000-1000-000008000000}" name="Fecha objetivo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_Preproduccion" displayName="T_Preproduccion" ref="A4:H9">
  <autoFilter ref="A4:H9" xr:uid="{00000000-0009-0000-0100-000012000000}"/>
  <tableColumns count="8">
    <tableColumn id="1" xr3:uid="{00000000-0010-0000-1100-000001000000}" name="Incidencia / ID"/>
    <tableColumn id="2" xr3:uid="{00000000-0010-0000-1100-000002000000}" name="Descripción"/>
    <tableColumn id="3" xr3:uid="{00000000-0010-0000-1100-000003000000}" name="Estado"/>
    <tableColumn id="4" xr3:uid="{00000000-0010-0000-1100-000004000000}" name="Prioridad"/>
    <tableColumn id="5" xr3:uid="{00000000-0010-0000-1100-000005000000}" name="Responsable"/>
    <tableColumn id="6" xr3:uid="{00000000-0010-0000-1100-000006000000}" name="Estimación (h)"/>
    <tableColumn id="7" xr3:uid="{00000000-0010-0000-1100-000007000000}" name="Observaciones / fuente"/>
    <tableColumn id="8" xr3:uid="{00000000-0010-0000-1100-000008000000}" name="Fecha objetivo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_Produccion" displayName="T_Produccion" ref="A4:H9">
  <autoFilter ref="A4:H9" xr:uid="{00000000-0009-0000-0100-000013000000}"/>
  <tableColumns count="8">
    <tableColumn id="1" xr3:uid="{00000000-0010-0000-1200-000001000000}" name="Incidencia / ID"/>
    <tableColumn id="2" xr3:uid="{00000000-0010-0000-1200-000002000000}" name="Descripción"/>
    <tableColumn id="3" xr3:uid="{00000000-0010-0000-1200-000003000000}" name="Estado"/>
    <tableColumn id="4" xr3:uid="{00000000-0010-0000-1200-000004000000}" name="Prioridad"/>
    <tableColumn id="5" xr3:uid="{00000000-0010-0000-1200-000005000000}" name="Responsable"/>
    <tableColumn id="6" xr3:uid="{00000000-0010-0000-1200-000006000000}" name="Estimación (h)"/>
    <tableColumn id="7" xr3:uid="{00000000-0010-0000-1200-000007000000}" name="Observaciones / fuente"/>
    <tableColumn id="8" xr3:uid="{00000000-0010-0000-1200-000008000000}" name="Fecha objetivo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_InformedeCostes" displayName="T_InformedeCostes" ref="A4:H9">
  <autoFilter ref="A4:H9" xr:uid="{00000000-0009-0000-0100-000014000000}"/>
  <tableColumns count="8">
    <tableColumn id="1" xr3:uid="{00000000-0010-0000-1300-000001000000}" name="Incidencia / ID"/>
    <tableColumn id="2" xr3:uid="{00000000-0010-0000-1300-000002000000}" name="Descripción"/>
    <tableColumn id="3" xr3:uid="{00000000-0010-0000-1300-000003000000}" name="Estado"/>
    <tableColumn id="4" xr3:uid="{00000000-0010-0000-1300-000004000000}" name="Prioridad"/>
    <tableColumn id="5" xr3:uid="{00000000-0010-0000-1300-000005000000}" name="Responsable"/>
    <tableColumn id="6" xr3:uid="{00000000-0010-0000-1300-000006000000}" name="Estimación (h)"/>
    <tableColumn id="7" xr3:uid="{00000000-0010-0000-1300-000007000000}" name="Observaciones / fuente"/>
    <tableColumn id="8" xr3:uid="{00000000-0010-0000-1300-000008000000}" name="Fecha objetivo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_EstimacionesdeHoras" displayName="T_EstimacionesdeHoras" ref="A4:H7">
  <autoFilter ref="A4:H7" xr:uid="{00000000-0009-0000-0100-000015000000}"/>
  <tableColumns count="8">
    <tableColumn id="1" xr3:uid="{00000000-0010-0000-1400-000001000000}" name="Incidencia / ID"/>
    <tableColumn id="2" xr3:uid="{00000000-0010-0000-1400-000002000000}" name="Descripción"/>
    <tableColumn id="3" xr3:uid="{00000000-0010-0000-1400-000003000000}" name="Estado"/>
    <tableColumn id="4" xr3:uid="{00000000-0010-0000-1400-000004000000}" name="Prioridad"/>
    <tableColumn id="5" xr3:uid="{00000000-0010-0000-1400-000005000000}" name="Responsable"/>
    <tableColumn id="6" xr3:uid="{00000000-0010-0000-1400-000006000000}" name="Estimación (h)"/>
    <tableColumn id="7" xr3:uid="{00000000-0010-0000-1400-000007000000}" name="Observaciones / fuente"/>
    <tableColumn id="8" xr3:uid="{00000000-0010-0000-1400-000008000000}" name="Fecha objetivo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_Presupuesto" displayName="T_Presupuesto" ref="A11:F35">
  <autoFilter ref="A11:F35" xr:uid="{00000000-0009-0000-0100-000016000000}"/>
  <tableColumns count="6">
    <tableColumn id="1" xr3:uid="{00000000-0010-0000-1500-000001000000}" name="Parte"/>
    <tableColumn id="2" xr3:uid="{00000000-0010-0000-1500-000002000000}" name="Concepto"/>
    <tableColumn id="3" xr3:uid="{00000000-0010-0000-1500-000003000000}" name="Horas estimadas"/>
    <tableColumn id="4" xr3:uid="{00000000-0010-0000-1500-000004000000}" name="Tarifa €/h"/>
    <tableColumn id="5" xr3:uid="{00000000-0010-0000-1500-000005000000}" name="Importe €"/>
    <tableColumn id="6" xr3:uid="{00000000-0010-0000-1500-000006000000}" name="Notas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_CostesAzure" displayName="T_CostesAzure" ref="A4:D16">
  <autoFilter ref="A4:D16" xr:uid="{00000000-0009-0000-0100-000017000000}"/>
  <tableColumns count="4">
    <tableColumn id="1" xr3:uid="{00000000-0010-0000-1600-000001000000}" name="Concepto"/>
    <tableColumn id="2" xr3:uid="{00000000-0010-0000-1600-000002000000}" name="Importe"/>
    <tableColumn id="3" xr3:uid="{00000000-0010-0000-1600-000003000000}" name="Unidad"/>
    <tableColumn id="4" xr3:uid="{00000000-0010-0000-1600-000004000000}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table" Target="../tables/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F6B78"/>
  </sheetPr>
  <dimension ref="A1:H31"/>
  <sheetViews>
    <sheetView showGridLines="0" tabSelected="1" workbookViewId="0">
      <pane ySplit="4" topLeftCell="A11" activePane="bottomLeft" state="frozen"/>
      <selection pane="bottomLeft" activeCell="H10" sqref="H10"/>
    </sheetView>
  </sheetViews>
  <sheetFormatPr baseColWidth="10" defaultColWidth="9.140625" defaultRowHeight="15" x14ac:dyDescent="0.25"/>
  <cols>
    <col min="1" max="1" width="30" customWidth="1"/>
    <col min="2" max="2" width="58" customWidth="1"/>
    <col min="3" max="3" width="18" customWidth="1"/>
    <col min="4" max="4" width="22" customWidth="1"/>
    <col min="5" max="5" width="18" customWidth="1"/>
    <col min="8" max="8" width="51.140625" customWidth="1"/>
  </cols>
  <sheetData>
    <row r="1" spans="1:8" ht="32.1" customHeight="1" x14ac:dyDescent="0.25">
      <c r="A1" s="39" t="s">
        <v>0</v>
      </c>
      <c r="B1" s="38"/>
      <c r="C1" s="38"/>
      <c r="D1" s="38"/>
      <c r="E1" s="38"/>
      <c r="F1" s="38"/>
      <c r="G1" s="38"/>
      <c r="H1" s="38"/>
    </row>
    <row r="2" spans="1:8" ht="27.95" customHeight="1" x14ac:dyDescent="0.25">
      <c r="A2" s="37" t="s">
        <v>1</v>
      </c>
      <c r="B2" s="38"/>
      <c r="C2" s="38"/>
      <c r="D2" s="38"/>
      <c r="E2" s="38"/>
      <c r="F2" s="38"/>
      <c r="G2" s="38"/>
      <c r="H2" s="38"/>
    </row>
    <row r="4" spans="1:8" ht="30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8" ht="27.95" customHeight="1" x14ac:dyDescent="0.25">
      <c r="A5" s="2" t="s">
        <v>7</v>
      </c>
      <c r="B5" s="2" t="s">
        <v>8</v>
      </c>
      <c r="C5" s="2" t="s">
        <v>9</v>
      </c>
      <c r="D5" s="2" t="s">
        <v>9</v>
      </c>
      <c r="E5" s="20" t="s">
        <v>10</v>
      </c>
      <c r="H5" s="61" t="s">
        <v>596</v>
      </c>
    </row>
    <row r="6" spans="1:8" ht="27.95" customHeight="1" x14ac:dyDescent="0.25">
      <c r="A6" s="2" t="s">
        <v>11</v>
      </c>
      <c r="B6" s="2" t="s">
        <v>12</v>
      </c>
      <c r="C6" s="2">
        <f>COUNTA(Arquitectura!A155:A254)</f>
        <v>4</v>
      </c>
      <c r="D6" s="2">
        <f>COUNTIF(Arquitectura!C155:C254,"Pendiente")+COUNTIF(Arquitectura!C155:C254,"Por validar")</f>
        <v>4</v>
      </c>
      <c r="E6" s="20" t="s">
        <v>10</v>
      </c>
    </row>
    <row r="7" spans="1:8" ht="27.95" customHeight="1" x14ac:dyDescent="0.25">
      <c r="A7" s="2" t="s">
        <v>13</v>
      </c>
      <c r="B7" s="2" t="s">
        <v>14</v>
      </c>
      <c r="C7" s="2">
        <f>COUNTA('Login y Autenticación'!A5:A104)</f>
        <v>4</v>
      </c>
      <c r="D7" s="2">
        <f>COUNTIF('Login y Autenticación'!C5:C104,"Pendiente")+COUNTIF('Login y Autenticación'!C5:C104,"Por validar")</f>
        <v>4</v>
      </c>
      <c r="E7" s="20" t="s">
        <v>10</v>
      </c>
    </row>
    <row r="8" spans="1:8" ht="27.95" customHeight="1" x14ac:dyDescent="0.25">
      <c r="A8" s="2" t="s">
        <v>15</v>
      </c>
      <c r="B8" s="2" t="s">
        <v>16</v>
      </c>
      <c r="C8" s="2">
        <f>COUNTA(Correo!A5:A105)</f>
        <v>5</v>
      </c>
      <c r="D8" s="2">
        <f>COUNTIF(Correo!C5:C105,"Pendiente")+COUNTIF(Correo!C5:C105,"Por validar")</f>
        <v>5</v>
      </c>
      <c r="E8" s="20" t="s">
        <v>10</v>
      </c>
    </row>
    <row r="9" spans="1:8" ht="27.95" customHeight="1" x14ac:dyDescent="0.25">
      <c r="A9" s="2" t="s">
        <v>17</v>
      </c>
      <c r="B9" s="2" t="s">
        <v>18</v>
      </c>
      <c r="C9" s="2">
        <f>COUNTA(Empleados!A5:A104)</f>
        <v>3</v>
      </c>
      <c r="D9" s="2">
        <f>COUNTIF(Empleados!C5:C104,"Pendiente")+COUNTIF(Empleados!C5:C104,"Por validar")</f>
        <v>3</v>
      </c>
      <c r="E9" s="20" t="s">
        <v>10</v>
      </c>
    </row>
    <row r="10" spans="1:8" ht="27.95" customHeight="1" x14ac:dyDescent="0.25">
      <c r="A10" s="2" t="s">
        <v>19</v>
      </c>
      <c r="B10" s="2" t="s">
        <v>20</v>
      </c>
      <c r="C10" s="2">
        <f>COUNTA('Boletines TT'!A5:A104)</f>
        <v>2</v>
      </c>
      <c r="D10" s="2">
        <f>COUNTIF('Boletines TT'!C5:C104,"Pendiente")+COUNTIF('Boletines TT'!C5:C104,"Por validar")</f>
        <v>2</v>
      </c>
      <c r="E10" s="20" t="s">
        <v>10</v>
      </c>
    </row>
    <row r="11" spans="1:8" ht="27.95" customHeight="1" x14ac:dyDescent="0.25">
      <c r="A11" s="2" t="s">
        <v>21</v>
      </c>
      <c r="B11" s="2" t="s">
        <v>22</v>
      </c>
      <c r="C11" s="2">
        <f>COUNTA(Turnos!A5:A104)</f>
        <v>2</v>
      </c>
      <c r="D11" s="2">
        <f>COUNTIF(Turnos!C5:C104,"Pendiente")+COUNTIF(Turnos!C5:C104,"Por validar")</f>
        <v>2</v>
      </c>
      <c r="E11" s="20" t="s">
        <v>10</v>
      </c>
    </row>
    <row r="12" spans="1:8" ht="27.95" customHeight="1" x14ac:dyDescent="0.25">
      <c r="A12" s="2" t="s">
        <v>23</v>
      </c>
      <c r="B12" s="2" t="s">
        <v>24</v>
      </c>
      <c r="C12" s="2">
        <f>COUNTA(Fichajes!A5:A104)</f>
        <v>4</v>
      </c>
      <c r="D12" s="2">
        <f>COUNTIF(Fichajes!C5:C104,"Pendiente")+COUNTIF(Fichajes!C5:C104,"Por validar")</f>
        <v>4</v>
      </c>
      <c r="E12" s="20" t="s">
        <v>10</v>
      </c>
    </row>
    <row r="13" spans="1:8" ht="27.95" customHeight="1" x14ac:dyDescent="0.25">
      <c r="A13" s="2" t="s">
        <v>25</v>
      </c>
      <c r="B13" s="2" t="s">
        <v>26</v>
      </c>
      <c r="C13" s="2">
        <f>COUNTA(Nominas!A5:A104)</f>
        <v>4</v>
      </c>
      <c r="D13" s="2">
        <f>COUNTIF(Nominas!C5:C104,"Pendiente")+COUNTIF(Nominas!C5:C104,"Por validar")</f>
        <v>4</v>
      </c>
      <c r="E13" s="20" t="s">
        <v>10</v>
      </c>
    </row>
    <row r="14" spans="1:8" ht="27.95" customHeight="1" x14ac:dyDescent="0.25">
      <c r="A14" s="2" t="s">
        <v>27</v>
      </c>
      <c r="B14" s="2" t="s">
        <v>28</v>
      </c>
      <c r="C14" s="2">
        <f>COUNTA('Vacaciones y Asuntos Propios'!A5:A104)</f>
        <v>2</v>
      </c>
      <c r="D14" s="2">
        <f>COUNTIF('Vacaciones y Asuntos Propios'!C5:C104,"Pendiente")+COUNTIF('Vacaciones y Asuntos Propios'!C5:C104,"Por validar")</f>
        <v>2</v>
      </c>
      <c r="E14" s="20" t="s">
        <v>10</v>
      </c>
    </row>
    <row r="15" spans="1:8" ht="27.95" customHeight="1" x14ac:dyDescent="0.25">
      <c r="A15" s="2" t="s">
        <v>29</v>
      </c>
      <c r="B15" s="2" t="s">
        <v>30</v>
      </c>
      <c r="C15" s="2">
        <f>COUNTA(Absentismo!A5:A104)</f>
        <v>2</v>
      </c>
      <c r="D15" s="2">
        <f>COUNTIF(Absentismo!C5:C104,"Pendiente")+COUNTIF(Absentismo!C5:C104,"Por validar")</f>
        <v>2</v>
      </c>
      <c r="E15" s="20" t="s">
        <v>10</v>
      </c>
    </row>
    <row r="16" spans="1:8" ht="27.95" customHeight="1" x14ac:dyDescent="0.25">
      <c r="A16" s="2" t="s">
        <v>31</v>
      </c>
      <c r="B16" s="2" t="s">
        <v>32</v>
      </c>
      <c r="C16" s="2">
        <f>COUNTA('Informes y Reporting'!A5:A104)</f>
        <v>3</v>
      </c>
      <c r="D16" s="2">
        <f>COUNTIF('Informes y Reporting'!C5:C104,"Pendiente")+COUNTIF('Informes y Reporting'!C5:C104,"Por validar")</f>
        <v>3</v>
      </c>
      <c r="E16" s="20" t="s">
        <v>10</v>
      </c>
    </row>
    <row r="17" spans="1:5" ht="27.95" customHeight="1" x14ac:dyDescent="0.25">
      <c r="A17" s="2" t="s">
        <v>33</v>
      </c>
      <c r="B17" s="2" t="s">
        <v>34</v>
      </c>
      <c r="C17" s="2">
        <f>COUNTA('Tratamiento de Adjuntos'!A5:A104)</f>
        <v>3</v>
      </c>
      <c r="D17" s="2">
        <f>COUNTIF('Tratamiento de Adjuntos'!C5:C104,"Pendiente")+COUNTIF('Tratamiento de Adjuntos'!C5:C104,"Por validar")</f>
        <v>3</v>
      </c>
      <c r="E17" s="20" t="s">
        <v>10</v>
      </c>
    </row>
    <row r="18" spans="1:5" ht="27.95" customHeight="1" x14ac:dyDescent="0.25">
      <c r="A18" s="2" t="s">
        <v>35</v>
      </c>
      <c r="B18" s="2" t="s">
        <v>36</v>
      </c>
      <c r="C18" s="2">
        <f>COUNTA('Noticias y Newsletter'!A5:A104)</f>
        <v>2</v>
      </c>
      <c r="D18" s="2">
        <f>COUNTIF('Noticias y Newsletter'!C5:C104,"Pendiente")+COUNTIF('Noticias y Newsletter'!C5:C104,"Por validar")</f>
        <v>2</v>
      </c>
      <c r="E18" s="20" t="s">
        <v>10</v>
      </c>
    </row>
    <row r="19" spans="1:5" ht="27.95" customHeight="1" x14ac:dyDescent="0.25">
      <c r="A19" s="2" t="s">
        <v>37</v>
      </c>
      <c r="B19" s="2" t="s">
        <v>38</v>
      </c>
      <c r="C19" s="2">
        <f>COUNTA(Gobernanza!A5:A104)</f>
        <v>4</v>
      </c>
      <c r="D19" s="2">
        <f>COUNTIF(Gobernanza!C5:C104,"Pendiente")+COUNTIF(Gobernanza!C5:C104,"Por validar")</f>
        <v>4</v>
      </c>
      <c r="E19" s="20" t="s">
        <v>10</v>
      </c>
    </row>
    <row r="20" spans="1:5" ht="27.95" customHeight="1" x14ac:dyDescent="0.25">
      <c r="A20" s="2" t="s">
        <v>39</v>
      </c>
      <c r="B20" s="2" t="s">
        <v>40</v>
      </c>
      <c r="C20" s="2">
        <f>COUNTA(Auditorias!A5:A104)</f>
        <v>4</v>
      </c>
      <c r="D20" s="2">
        <f>COUNTIF(Auditorias!C5:C104,"Pendiente")+COUNTIF(Auditorias!C5:C104,"Por validar")</f>
        <v>4</v>
      </c>
      <c r="E20" s="20" t="s">
        <v>10</v>
      </c>
    </row>
    <row r="21" spans="1:5" ht="27.95" customHeight="1" x14ac:dyDescent="0.25">
      <c r="A21" s="2" t="s">
        <v>41</v>
      </c>
      <c r="B21" s="2" t="s">
        <v>42</v>
      </c>
      <c r="C21" s="2">
        <f>COUNTA(Seguridad!A5:A104)</f>
        <v>10</v>
      </c>
      <c r="D21" s="2">
        <f>COUNTIF(Seguridad!C5:C104,"Pendiente")+COUNTIF(Seguridad!C5:C104,"Por validar")</f>
        <v>10</v>
      </c>
      <c r="E21" s="20" t="s">
        <v>10</v>
      </c>
    </row>
    <row r="22" spans="1:5" ht="27.95" customHeight="1" x14ac:dyDescent="0.25">
      <c r="A22" s="2" t="s">
        <v>43</v>
      </c>
      <c r="B22" s="2" t="s">
        <v>44</v>
      </c>
      <c r="C22" s="2">
        <f>COUNTA(Preproduccion!A5:A104)</f>
        <v>5</v>
      </c>
      <c r="D22" s="2">
        <f>COUNTIF(Preproduccion!C5:C104,"Pendiente")+COUNTIF(Preproduccion!C5:C104,"Por validar")</f>
        <v>5</v>
      </c>
      <c r="E22" s="20" t="s">
        <v>10</v>
      </c>
    </row>
    <row r="23" spans="1:5" ht="27.95" customHeight="1" x14ac:dyDescent="0.25">
      <c r="A23" s="2" t="s">
        <v>45</v>
      </c>
      <c r="B23" s="2" t="s">
        <v>46</v>
      </c>
      <c r="C23" s="2">
        <f>COUNTA(Produccion!A5:A104)</f>
        <v>5</v>
      </c>
      <c r="D23" s="2">
        <f>COUNTIF(Produccion!C5:C104,"Pendiente")+COUNTIF(Produccion!C5:C104,"Por validar")</f>
        <v>5</v>
      </c>
      <c r="E23" s="20" t="s">
        <v>10</v>
      </c>
    </row>
    <row r="24" spans="1:5" ht="27.95" customHeight="1" x14ac:dyDescent="0.25">
      <c r="A24" s="2" t="s">
        <v>47</v>
      </c>
      <c r="B24" s="2" t="s">
        <v>48</v>
      </c>
      <c r="C24" s="2">
        <f>COUNTA('Informe de Costes'!A5:A104)</f>
        <v>5</v>
      </c>
      <c r="D24" s="2">
        <f>COUNTIF('Informe de Costes'!C5:C104,"Pendiente")+COUNTIF('Informe de Costes'!C5:C104,"Por validar")</f>
        <v>5</v>
      </c>
      <c r="E24" s="20" t="s">
        <v>10</v>
      </c>
    </row>
    <row r="25" spans="1:5" ht="27.95" customHeight="1" x14ac:dyDescent="0.25">
      <c r="A25" s="2" t="s">
        <v>49</v>
      </c>
      <c r="B25" s="2" t="s">
        <v>50</v>
      </c>
      <c r="C25" s="2">
        <f>COUNTA('Estimaciones de Horas'!A5:A7)</f>
        <v>3</v>
      </c>
      <c r="D25" s="2">
        <f>COUNTIF('Estimaciones de Horas'!C5:C7,"Pendiente")+COUNTIF('Estimaciones de Horas'!C5:C7,"Por validar")</f>
        <v>3</v>
      </c>
      <c r="E25" s="20" t="s">
        <v>10</v>
      </c>
    </row>
    <row r="26" spans="1:5" ht="27.95" customHeight="1" x14ac:dyDescent="0.25">
      <c r="A26" s="30" t="s">
        <v>51</v>
      </c>
      <c r="B26" s="30" t="s">
        <v>52</v>
      </c>
      <c r="C26" s="30" t="s">
        <v>9</v>
      </c>
      <c r="D26" s="30" t="s">
        <v>9</v>
      </c>
      <c r="E26" s="31" t="s">
        <v>53</v>
      </c>
    </row>
    <row r="27" spans="1:5" ht="27.95" customHeight="1" x14ac:dyDescent="0.25">
      <c r="A27" s="32" t="s">
        <v>54</v>
      </c>
      <c r="B27" s="32" t="s">
        <v>55</v>
      </c>
      <c r="C27" s="32">
        <v>6</v>
      </c>
      <c r="D27" s="32">
        <v>6</v>
      </c>
      <c r="E27" s="33" t="s">
        <v>53</v>
      </c>
    </row>
    <row r="28" spans="1:5" ht="27.95" customHeight="1" x14ac:dyDescent="0.25">
      <c r="A28" s="30" t="s">
        <v>56</v>
      </c>
      <c r="B28" s="30" t="s">
        <v>57</v>
      </c>
      <c r="C28" s="30">
        <v>6</v>
      </c>
      <c r="D28" s="30">
        <v>6</v>
      </c>
      <c r="E28" s="31" t="s">
        <v>53</v>
      </c>
    </row>
    <row r="29" spans="1:5" ht="27.95" customHeight="1" x14ac:dyDescent="0.25">
      <c r="A29" s="32" t="s">
        <v>58</v>
      </c>
      <c r="B29" s="32" t="s">
        <v>59</v>
      </c>
      <c r="C29" s="32">
        <v>6</v>
      </c>
      <c r="D29" s="32">
        <v>6</v>
      </c>
      <c r="E29" s="33" t="s">
        <v>53</v>
      </c>
    </row>
    <row r="30" spans="1:5" ht="27.95" customHeight="1" x14ac:dyDescent="0.25">
      <c r="A30" s="30" t="s">
        <v>60</v>
      </c>
      <c r="B30" s="30" t="s">
        <v>61</v>
      </c>
      <c r="C30" s="30">
        <v>6</v>
      </c>
      <c r="D30" s="30">
        <v>6</v>
      </c>
      <c r="E30" s="31" t="s">
        <v>53</v>
      </c>
    </row>
    <row r="31" spans="1:5" ht="27.95" customHeight="1" x14ac:dyDescent="0.25">
      <c r="A31" s="32" t="s">
        <v>62</v>
      </c>
      <c r="B31" s="32" t="s">
        <v>63</v>
      </c>
      <c r="C31" s="32">
        <v>7</v>
      </c>
      <c r="D31" s="32">
        <v>7</v>
      </c>
      <c r="E31" s="33" t="s">
        <v>53</v>
      </c>
    </row>
  </sheetData>
  <mergeCells count="2">
    <mergeCell ref="A2:H2"/>
    <mergeCell ref="A1:H1"/>
  </mergeCells>
  <hyperlinks>
    <hyperlink ref="A2" location="'Dashboard'!A1" display="Control central de incidencias, tareas, arquitectura, costes y estimaciones. Las tareas iniciales están sembradas desde los documentos aportados; revisa las que figuran «Por validar»." xr:uid="{00000000-0004-0000-0000-000000000000}"/>
    <hyperlink ref="E5" location="'Dashboard'!A1" display="Abrir" xr:uid="{00000000-0004-0000-0000-000001000000}"/>
    <hyperlink ref="E6" location="'Arquitectura'!A1" display="Abrir" xr:uid="{00000000-0004-0000-0000-000002000000}"/>
    <hyperlink ref="E7" location="'Login y Autenticación'!A1" display="Abrir" xr:uid="{00000000-0004-0000-0000-000003000000}"/>
    <hyperlink ref="E8" location="'Correo'!A1" display="Abrir" xr:uid="{00000000-0004-0000-0000-000004000000}"/>
    <hyperlink ref="E9" location="'Empleados'!A1" display="Abrir" xr:uid="{00000000-0004-0000-0000-000005000000}"/>
    <hyperlink ref="E10" location="'Boletines TT'!A1" display="Abrir" xr:uid="{00000000-0004-0000-0000-000006000000}"/>
    <hyperlink ref="E11" location="'Turnos'!A1" display="Abrir" xr:uid="{00000000-0004-0000-0000-000007000000}"/>
    <hyperlink ref="E12" location="'Fichajes'!A1" display="Abrir" xr:uid="{00000000-0004-0000-0000-000008000000}"/>
    <hyperlink ref="E13" location="'Nominas'!A1" display="Abrir" xr:uid="{00000000-0004-0000-0000-000009000000}"/>
    <hyperlink ref="E14" location="'Vacaciones y Asuntos Propios'!A1" display="Abrir" xr:uid="{00000000-0004-0000-0000-00000A000000}"/>
    <hyperlink ref="E15" location="'Absentismo'!A1" display="Abrir" xr:uid="{00000000-0004-0000-0000-00000B000000}"/>
    <hyperlink ref="E16" location="'Informes y Reporting'!A1" display="Abrir" xr:uid="{00000000-0004-0000-0000-00000C000000}"/>
    <hyperlink ref="E17" location="'Tratamiento de Adjuntos'!A1" display="Abrir" xr:uid="{00000000-0004-0000-0000-00000D000000}"/>
    <hyperlink ref="E18" location="'Noticias y Newsletter'!A1" display="Abrir" xr:uid="{00000000-0004-0000-0000-00000E000000}"/>
    <hyperlink ref="E19" location="'Gobernanza'!A1" display="Abrir" xr:uid="{00000000-0004-0000-0000-00000F000000}"/>
    <hyperlink ref="E20" location="'Auditorias'!A1" display="Abrir" xr:uid="{00000000-0004-0000-0000-000010000000}"/>
    <hyperlink ref="E21" location="'Seguridad'!A1" display="Abrir" xr:uid="{00000000-0004-0000-0000-000011000000}"/>
    <hyperlink ref="E22" location="'Preproduccion'!A1" display="Abrir" xr:uid="{00000000-0004-0000-0000-000012000000}"/>
    <hyperlink ref="E23" location="'Produccion'!A1" display="Abrir" xr:uid="{00000000-0004-0000-0000-000013000000}"/>
    <hyperlink ref="E24" location="'Informe de Costes'!A1" display="Abrir" xr:uid="{00000000-0004-0000-0000-000014000000}"/>
    <hyperlink ref="E25" location="'Estimaciones de Horas'!A1" display="Abrir" xr:uid="{00000000-0004-0000-0000-000015000000}"/>
    <hyperlink ref="E26" location="'Costes Azure'!A1" display="Ir a pestaña" xr:uid="{00000000-0004-0000-0000-000016000000}"/>
    <hyperlink ref="E27" location="'Mundo 2D'!A1" display="Ir a pestaña" xr:uid="{00000000-0004-0000-0000-000017000000}"/>
    <hyperlink ref="E28" location="'Mundo 3D'!A1" display="Ir a pestaña" xr:uid="{00000000-0004-0000-0000-000018000000}"/>
    <hyperlink ref="E29" location="'Holograma'!A1" display="Ir a pestaña" xr:uid="{00000000-0004-0000-0000-000019000000}"/>
    <hyperlink ref="E30" location="'mIA-Desktop'!A1" display="Ir a pestaña" xr:uid="{00000000-0004-0000-0000-00001A000000}"/>
    <hyperlink ref="E31" location="'Multiidioma'!A1" display="Ir a pestaña" xr:uid="{00000000-0004-0000-0000-00001B000000}"/>
  </hyperlink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F6B78"/>
  </sheetPr>
  <dimension ref="A1:I51"/>
  <sheetViews>
    <sheetView showGridLines="0" workbookViewId="0">
      <pane ySplit="4" topLeftCell="A5" activePane="bottomLeft" state="frozen"/>
      <selection pane="bottomLeft" activeCell="B40" sqref="B40"/>
    </sheetView>
  </sheetViews>
  <sheetFormatPr baseColWidth="10" defaultColWidth="9.140625" defaultRowHeight="15" x14ac:dyDescent="0.25"/>
  <cols>
    <col min="1" max="1" width="27" customWidth="1"/>
    <col min="2" max="8" width="16" customWidth="1"/>
    <col min="9" max="9" width="14" customWidth="1"/>
  </cols>
  <sheetData>
    <row r="1" spans="1:9" ht="32.1" customHeight="1" x14ac:dyDescent="0.25">
      <c r="A1" s="39" t="s">
        <v>64</v>
      </c>
      <c r="B1" s="38"/>
      <c r="C1" s="38"/>
      <c r="D1" s="38"/>
      <c r="E1" s="38"/>
      <c r="F1" s="38"/>
      <c r="G1" s="38"/>
      <c r="H1" s="38"/>
    </row>
    <row r="2" spans="1:9" ht="27.95" customHeight="1" x14ac:dyDescent="0.25">
      <c r="A2" s="37" t="s">
        <v>65</v>
      </c>
      <c r="B2" s="38"/>
      <c r="C2" s="38"/>
      <c r="D2" s="38"/>
      <c r="E2" s="38"/>
      <c r="F2" s="38"/>
      <c r="G2" s="38"/>
      <c r="H2" s="38"/>
    </row>
    <row r="4" spans="1:9" ht="30" customHeight="1" x14ac:dyDescent="0.25">
      <c r="A4" s="1" t="s">
        <v>66</v>
      </c>
      <c r="B4" s="1" t="s">
        <v>67</v>
      </c>
      <c r="D4" s="1" t="s">
        <v>68</v>
      </c>
      <c r="E4" s="1" t="s">
        <v>69</v>
      </c>
      <c r="F4" s="1" t="s">
        <v>70</v>
      </c>
    </row>
    <row r="5" spans="1:9" ht="15.75" x14ac:dyDescent="0.25">
      <c r="A5" s="3" t="s">
        <v>71</v>
      </c>
      <c r="B5" s="4">
        <f>SUM(B15:B39)</f>
        <v>107</v>
      </c>
      <c r="D5" s="5" t="s">
        <v>72</v>
      </c>
      <c r="E5" s="5">
        <f t="shared" ref="E5:E10" si="0">B6</f>
        <v>61</v>
      </c>
      <c r="F5" s="23">
        <f t="shared" ref="F5:F10" si="1">IFERROR(E5/$B$5,0)</f>
        <v>0.57009345794392519</v>
      </c>
    </row>
    <row r="6" spans="1:9" ht="15.75" x14ac:dyDescent="0.25">
      <c r="A6" s="3" t="s">
        <v>72</v>
      </c>
      <c r="B6" s="4">
        <f>SUM(C15:C39)</f>
        <v>61</v>
      </c>
      <c r="D6" s="5" t="s">
        <v>73</v>
      </c>
      <c r="E6" s="5">
        <f t="shared" si="0"/>
        <v>0</v>
      </c>
      <c r="F6" s="23">
        <f t="shared" si="1"/>
        <v>0</v>
      </c>
    </row>
    <row r="7" spans="1:9" ht="15.75" x14ac:dyDescent="0.25">
      <c r="A7" s="3" t="s">
        <v>73</v>
      </c>
      <c r="B7" s="4">
        <f>SUM(D15:D39)</f>
        <v>0</v>
      </c>
      <c r="D7" s="5" t="s">
        <v>74</v>
      </c>
      <c r="E7" s="5">
        <f t="shared" si="0"/>
        <v>0</v>
      </c>
      <c r="F7" s="23">
        <f t="shared" si="1"/>
        <v>0</v>
      </c>
    </row>
    <row r="8" spans="1:9" ht="15.75" x14ac:dyDescent="0.25">
      <c r="A8" s="3" t="s">
        <v>74</v>
      </c>
      <c r="B8" s="4">
        <f>SUM(E15:E39)</f>
        <v>0</v>
      </c>
      <c r="D8" s="5" t="s">
        <v>75</v>
      </c>
      <c r="E8" s="5">
        <f t="shared" si="0"/>
        <v>46</v>
      </c>
      <c r="F8" s="23">
        <f t="shared" si="1"/>
        <v>0.42990654205607476</v>
      </c>
    </row>
    <row r="9" spans="1:9" ht="15.75" x14ac:dyDescent="0.25">
      <c r="A9" s="3" t="s">
        <v>75</v>
      </c>
      <c r="B9" s="4">
        <f>SUM(F15:F39)</f>
        <v>46</v>
      </c>
      <c r="D9" s="5" t="s">
        <v>76</v>
      </c>
      <c r="E9" s="5">
        <f t="shared" si="0"/>
        <v>0</v>
      </c>
      <c r="F9" s="23">
        <f t="shared" si="1"/>
        <v>0</v>
      </c>
    </row>
    <row r="10" spans="1:9" ht="15.75" x14ac:dyDescent="0.25">
      <c r="A10" s="3" t="s">
        <v>76</v>
      </c>
      <c r="B10" s="4">
        <f>SUM(G15:G39)</f>
        <v>0</v>
      </c>
      <c r="D10" s="5" t="s">
        <v>77</v>
      </c>
      <c r="E10" s="5">
        <f t="shared" si="0"/>
        <v>0</v>
      </c>
      <c r="F10" s="23">
        <f t="shared" si="1"/>
        <v>0</v>
      </c>
    </row>
    <row r="11" spans="1:9" ht="15.75" x14ac:dyDescent="0.25">
      <c r="A11" s="3" t="s">
        <v>77</v>
      </c>
      <c r="B11" s="4">
        <f>COUNTIF(Arquitectura!C155:C254,"Descartado")+COUNTIF('Login y Autenticación'!C5:C104,"Descartado")+COUNTIF(Correo!C5:C105,"Descartado")+COUNTIF(Empleados!C5:C104,"Descartado")+COUNTIF('Boletines TT'!C5:C104,"Descartado")+COUNTIF(Turnos!C5:C104,"Descartado")+COUNTIF(Fichajes!C5:C104,"Descartado")+COUNTIF(Nominas!C5:C104,"Descartado")+COUNTIF('Vacaciones y Asuntos Propios'!C5:C104,"Descartado")+COUNTIF(Absentismo!C5:C104,"Descartado")+COUNTIF('Informes y Reporting'!C5:C104,"Descartado")+COUNTIF('Tratamiento de Adjuntos'!C5:C104,"Descartado")+COUNTIF('Noticias y Newsletter'!C5:C104,"Descartado")+COUNTIF(Gobernanza!C5:C104,"Descartado")+COUNTIF(Auditorias!C5:C104,"Descartado")+COUNTIF(Seguridad!C5:C104,"Descartado")+COUNTIF(Preproduccion!C5:C104,"Descartado")+COUNTIF(Produccion!C5:C104,"Descartado")+COUNTIF('Informe de Costes'!C5:C104,"Descartado")+COUNTIF('Estimaciones de Horas'!C5:C7,"Descartado")+COUNTIF('Mundo 2D'!C5:C104,"Descartado")+COUNTIF('Mundo 3D'!C5:C104,"Descartado")+COUNTIF(Holograma!C5:C104,"Descartado")+COUNTIF('mIA-Desktop'!C5:C104,"Descartado")+COUNTIF(Multiidioma!C5:C104,"Descartado")</f>
        <v>0</v>
      </c>
    </row>
    <row r="12" spans="1:9" ht="32.1" customHeight="1" x14ac:dyDescent="0.25">
      <c r="A12" s="40" t="s">
        <v>78</v>
      </c>
      <c r="B12" s="38"/>
      <c r="C12" s="38"/>
      <c r="D12" s="38"/>
      <c r="E12" s="38"/>
      <c r="F12" s="38"/>
      <c r="G12" s="38"/>
      <c r="H12" s="38"/>
    </row>
    <row r="14" spans="1:9" ht="27.95" customHeight="1" x14ac:dyDescent="0.25">
      <c r="A14" s="1" t="s">
        <v>2</v>
      </c>
      <c r="B14" s="1" t="s">
        <v>79</v>
      </c>
      <c r="C14" s="1" t="s">
        <v>72</v>
      </c>
      <c r="D14" s="1" t="s">
        <v>73</v>
      </c>
      <c r="E14" s="1" t="s">
        <v>74</v>
      </c>
      <c r="F14" s="1" t="s">
        <v>75</v>
      </c>
      <c r="G14" s="1" t="s">
        <v>76</v>
      </c>
      <c r="H14" s="1" t="s">
        <v>80</v>
      </c>
      <c r="I14" s="25"/>
    </row>
    <row r="15" spans="1:9" ht="24.95" customHeight="1" x14ac:dyDescent="0.25">
      <c r="A15" s="21" t="s">
        <v>11</v>
      </c>
      <c r="B15" s="2">
        <f>COUNTA(Arquitectura!A155:A254)</f>
        <v>4</v>
      </c>
      <c r="C15" s="2">
        <f>COUNTIF(Arquitectura!C155:C254,"Pendiente")</f>
        <v>2</v>
      </c>
      <c r="D15" s="2">
        <f>COUNTIF(Arquitectura!C155:C254,"En curso")</f>
        <v>0</v>
      </c>
      <c r="E15" s="2">
        <f>COUNTIF(Arquitectura!C155:C254,"Bloqueado")</f>
        <v>0</v>
      </c>
      <c r="F15" s="2">
        <f>COUNTIF(Arquitectura!C155:C254,"Por validar")</f>
        <v>2</v>
      </c>
      <c r="G15" s="2">
        <f>COUNTIF(Arquitectura!C155:C254,"Resuelto")</f>
        <v>0</v>
      </c>
      <c r="H15" s="6">
        <f t="shared" ref="H15:H39" si="2">IFERROR(G15/B15,0)</f>
        <v>0</v>
      </c>
      <c r="I15" s="26"/>
    </row>
    <row r="16" spans="1:9" ht="24.95" customHeight="1" x14ac:dyDescent="0.25">
      <c r="A16" s="21" t="s">
        <v>13</v>
      </c>
      <c r="B16" s="2">
        <f>COUNTA('Login y Autenticación'!A5:A104)</f>
        <v>4</v>
      </c>
      <c r="C16" s="2">
        <f>COUNTIF('Login y Autenticación'!C5:C104,"Pendiente")</f>
        <v>2</v>
      </c>
      <c r="D16" s="2">
        <f>COUNTIF('Login y Autenticación'!C5:C104,"En curso")</f>
        <v>0</v>
      </c>
      <c r="E16" s="2">
        <f>COUNTIF('Login y Autenticación'!C5:C104,"Bloqueado")</f>
        <v>0</v>
      </c>
      <c r="F16" s="2">
        <f>COUNTIF('Login y Autenticación'!C5:C104,"Por validar")</f>
        <v>2</v>
      </c>
      <c r="G16" s="2">
        <f>COUNTIF('Login y Autenticación'!C5:C104,"Resuelto")</f>
        <v>0</v>
      </c>
      <c r="H16" s="6">
        <f t="shared" si="2"/>
        <v>0</v>
      </c>
      <c r="I16" s="26"/>
    </row>
    <row r="17" spans="1:9" ht="24.95" customHeight="1" x14ac:dyDescent="0.25">
      <c r="A17" s="21" t="s">
        <v>15</v>
      </c>
      <c r="B17" s="2">
        <f>COUNTA(Correo!A5:A105)</f>
        <v>5</v>
      </c>
      <c r="C17" s="2">
        <f>COUNTIF(Correo!C5:C105,"Pendiente")</f>
        <v>4</v>
      </c>
      <c r="D17" s="2">
        <f>COUNTIF(Correo!C5:C105,"En curso")</f>
        <v>0</v>
      </c>
      <c r="E17" s="2">
        <f>COUNTIF(Correo!C5:C105,"Bloqueado")</f>
        <v>0</v>
      </c>
      <c r="F17" s="2">
        <f>COUNTIF(Correo!C5:C105,"Por validar")</f>
        <v>1</v>
      </c>
      <c r="G17" s="2">
        <f>COUNTIF(Correo!C5:C105,"Resuelto")</f>
        <v>0</v>
      </c>
      <c r="H17" s="6">
        <f t="shared" si="2"/>
        <v>0</v>
      </c>
      <c r="I17" s="26"/>
    </row>
    <row r="18" spans="1:9" ht="24.95" customHeight="1" x14ac:dyDescent="0.25">
      <c r="A18" s="21" t="s">
        <v>17</v>
      </c>
      <c r="B18" s="2">
        <f>COUNTA(Empleados!A5:A104)</f>
        <v>3</v>
      </c>
      <c r="C18" s="2">
        <f>COUNTIF(Empleados!C5:C104,"Pendiente")</f>
        <v>1</v>
      </c>
      <c r="D18" s="2">
        <f>COUNTIF(Empleados!C5:C104,"En curso")</f>
        <v>0</v>
      </c>
      <c r="E18" s="2">
        <f>COUNTIF(Empleados!C5:C104,"Bloqueado")</f>
        <v>0</v>
      </c>
      <c r="F18" s="2">
        <f>COUNTIF(Empleados!C5:C104,"Por validar")</f>
        <v>2</v>
      </c>
      <c r="G18" s="2">
        <f>COUNTIF(Empleados!C5:C104,"Resuelto")</f>
        <v>0</v>
      </c>
      <c r="H18" s="6">
        <f t="shared" si="2"/>
        <v>0</v>
      </c>
      <c r="I18" s="26"/>
    </row>
    <row r="19" spans="1:9" ht="24.95" customHeight="1" x14ac:dyDescent="0.25">
      <c r="A19" s="21" t="s">
        <v>19</v>
      </c>
      <c r="B19" s="2">
        <f>COUNTA('Boletines TT'!A5:A104)</f>
        <v>2</v>
      </c>
      <c r="C19" s="2">
        <f>COUNTIF('Boletines TT'!C5:C104,"Pendiente")</f>
        <v>1</v>
      </c>
      <c r="D19" s="2">
        <f>COUNTIF('Boletines TT'!C5:C104,"En curso")</f>
        <v>0</v>
      </c>
      <c r="E19" s="2">
        <f>COUNTIF('Boletines TT'!C5:C104,"Bloqueado")</f>
        <v>0</v>
      </c>
      <c r="F19" s="2">
        <f>COUNTIF('Boletines TT'!C5:C104,"Por validar")</f>
        <v>1</v>
      </c>
      <c r="G19" s="2">
        <f>COUNTIF('Boletines TT'!C5:C104,"Resuelto")</f>
        <v>0</v>
      </c>
      <c r="H19" s="6">
        <f t="shared" si="2"/>
        <v>0</v>
      </c>
      <c r="I19" s="26"/>
    </row>
    <row r="20" spans="1:9" ht="24.95" customHeight="1" x14ac:dyDescent="0.25">
      <c r="A20" s="21" t="s">
        <v>21</v>
      </c>
      <c r="B20" s="2">
        <f>COUNTA(Turnos!A5:A104)</f>
        <v>2</v>
      </c>
      <c r="C20" s="2">
        <f>COUNTIF(Turnos!C5:C104,"Pendiente")</f>
        <v>1</v>
      </c>
      <c r="D20" s="2">
        <f>COUNTIF(Turnos!C5:C104,"En curso")</f>
        <v>0</v>
      </c>
      <c r="E20" s="2">
        <f>COUNTIF(Turnos!C5:C104,"Bloqueado")</f>
        <v>0</v>
      </c>
      <c r="F20" s="2">
        <f>COUNTIF(Turnos!C5:C104,"Por validar")</f>
        <v>1</v>
      </c>
      <c r="G20" s="2">
        <f>COUNTIF(Turnos!C5:C104,"Resuelto")</f>
        <v>0</v>
      </c>
      <c r="H20" s="6">
        <f t="shared" si="2"/>
        <v>0</v>
      </c>
      <c r="I20" s="26"/>
    </row>
    <row r="21" spans="1:9" ht="24.95" customHeight="1" x14ac:dyDescent="0.25">
      <c r="A21" s="21" t="s">
        <v>23</v>
      </c>
      <c r="B21" s="2">
        <f>COUNTA(Fichajes!A5:A104)</f>
        <v>4</v>
      </c>
      <c r="C21" s="2">
        <f>COUNTIF(Fichajes!C5:C104,"Pendiente")</f>
        <v>4</v>
      </c>
      <c r="D21" s="2">
        <f>COUNTIF(Fichajes!C5:C104,"En curso")</f>
        <v>0</v>
      </c>
      <c r="E21" s="2">
        <f>COUNTIF(Fichajes!C5:C104,"Bloqueado")</f>
        <v>0</v>
      </c>
      <c r="F21" s="2">
        <f>COUNTIF(Fichajes!C5:C104,"Por validar")</f>
        <v>0</v>
      </c>
      <c r="G21" s="2">
        <f>COUNTIF(Fichajes!C5:C104,"Resuelto")</f>
        <v>0</v>
      </c>
      <c r="H21" s="6">
        <f t="shared" si="2"/>
        <v>0</v>
      </c>
      <c r="I21" s="26"/>
    </row>
    <row r="22" spans="1:9" ht="24.95" customHeight="1" x14ac:dyDescent="0.25">
      <c r="A22" s="21" t="s">
        <v>25</v>
      </c>
      <c r="B22" s="2">
        <f>COUNTA(Nominas!A5:A104)</f>
        <v>4</v>
      </c>
      <c r="C22" s="2">
        <f>COUNTIF(Nominas!C5:C104,"Pendiente")</f>
        <v>1</v>
      </c>
      <c r="D22" s="2">
        <f>COUNTIF(Nominas!C5:C104,"En curso")</f>
        <v>0</v>
      </c>
      <c r="E22" s="2">
        <f>COUNTIF(Nominas!C5:C104,"Bloqueado")</f>
        <v>0</v>
      </c>
      <c r="F22" s="2">
        <f>COUNTIF(Nominas!C5:C104,"Por validar")</f>
        <v>3</v>
      </c>
      <c r="G22" s="2">
        <f>COUNTIF(Nominas!C5:C104,"Resuelto")</f>
        <v>0</v>
      </c>
      <c r="H22" s="6">
        <f t="shared" si="2"/>
        <v>0</v>
      </c>
      <c r="I22" s="26"/>
    </row>
    <row r="23" spans="1:9" ht="24.95" customHeight="1" x14ac:dyDescent="0.25">
      <c r="A23" s="21" t="s">
        <v>27</v>
      </c>
      <c r="B23" s="2">
        <f>COUNTA('Vacaciones y Asuntos Propios'!A5:A104)</f>
        <v>2</v>
      </c>
      <c r="C23" s="2">
        <f>COUNTIF('Vacaciones y Asuntos Propios'!C5:C104,"Pendiente")</f>
        <v>1</v>
      </c>
      <c r="D23" s="2">
        <f>COUNTIF('Vacaciones y Asuntos Propios'!C5:C104,"En curso")</f>
        <v>0</v>
      </c>
      <c r="E23" s="2">
        <f>COUNTIF('Vacaciones y Asuntos Propios'!C5:C104,"Bloqueado")</f>
        <v>0</v>
      </c>
      <c r="F23" s="2">
        <f>COUNTIF('Vacaciones y Asuntos Propios'!C5:C104,"Por validar")</f>
        <v>1</v>
      </c>
      <c r="G23" s="2">
        <f>COUNTIF('Vacaciones y Asuntos Propios'!C5:C104,"Resuelto")</f>
        <v>0</v>
      </c>
      <c r="H23" s="6">
        <f t="shared" si="2"/>
        <v>0</v>
      </c>
      <c r="I23" s="26"/>
    </row>
    <row r="24" spans="1:9" ht="24.95" customHeight="1" x14ac:dyDescent="0.25">
      <c r="A24" s="21" t="s">
        <v>29</v>
      </c>
      <c r="B24" s="2">
        <f>COUNTA(Absentismo!A5:A104)</f>
        <v>2</v>
      </c>
      <c r="C24" s="2">
        <f>COUNTIF(Absentismo!C5:C104,"Pendiente")</f>
        <v>1</v>
      </c>
      <c r="D24" s="2">
        <f>COUNTIF(Absentismo!C5:C104,"En curso")</f>
        <v>0</v>
      </c>
      <c r="E24" s="2">
        <f>COUNTIF(Absentismo!C5:C104,"Bloqueado")</f>
        <v>0</v>
      </c>
      <c r="F24" s="2">
        <f>COUNTIF(Absentismo!C5:C104,"Por validar")</f>
        <v>1</v>
      </c>
      <c r="G24" s="2">
        <f>COUNTIF(Absentismo!C5:C104,"Resuelto")</f>
        <v>0</v>
      </c>
      <c r="H24" s="6">
        <f t="shared" si="2"/>
        <v>0</v>
      </c>
      <c r="I24" s="26"/>
    </row>
    <row r="25" spans="1:9" ht="24.95" customHeight="1" x14ac:dyDescent="0.25">
      <c r="A25" s="21" t="s">
        <v>31</v>
      </c>
      <c r="B25" s="2">
        <f>COUNTA('Informes y Reporting'!A5:A104)</f>
        <v>3</v>
      </c>
      <c r="C25" s="2">
        <f>COUNTIF('Informes y Reporting'!C5:C104,"Pendiente")</f>
        <v>2</v>
      </c>
      <c r="D25" s="2">
        <f>COUNTIF('Informes y Reporting'!C5:C104,"En curso")</f>
        <v>0</v>
      </c>
      <c r="E25" s="2">
        <f>COUNTIF('Informes y Reporting'!C5:C104,"Bloqueado")</f>
        <v>0</v>
      </c>
      <c r="F25" s="2">
        <f>COUNTIF('Informes y Reporting'!C5:C104,"Por validar")</f>
        <v>1</v>
      </c>
      <c r="G25" s="2">
        <f>COUNTIF('Informes y Reporting'!C5:C104,"Resuelto")</f>
        <v>0</v>
      </c>
      <c r="H25" s="6">
        <f t="shared" si="2"/>
        <v>0</v>
      </c>
      <c r="I25" s="26"/>
    </row>
    <row r="26" spans="1:9" ht="24.95" customHeight="1" x14ac:dyDescent="0.25">
      <c r="A26" s="21" t="s">
        <v>33</v>
      </c>
      <c r="B26" s="2">
        <f>COUNTA('Tratamiento de Adjuntos'!A5:A104)</f>
        <v>3</v>
      </c>
      <c r="C26" s="2">
        <f>COUNTIF('Tratamiento de Adjuntos'!C5:C104,"Pendiente")</f>
        <v>1</v>
      </c>
      <c r="D26" s="2">
        <f>COUNTIF('Tratamiento de Adjuntos'!C5:C104,"En curso")</f>
        <v>0</v>
      </c>
      <c r="E26" s="2">
        <f>COUNTIF('Tratamiento de Adjuntos'!C5:C104,"Bloqueado")</f>
        <v>0</v>
      </c>
      <c r="F26" s="2">
        <f>COUNTIF('Tratamiento de Adjuntos'!C5:C104,"Por validar")</f>
        <v>2</v>
      </c>
      <c r="G26" s="2">
        <f>COUNTIF('Tratamiento de Adjuntos'!C5:C104,"Resuelto")</f>
        <v>0</v>
      </c>
      <c r="H26" s="6">
        <f t="shared" si="2"/>
        <v>0</v>
      </c>
      <c r="I26" s="26"/>
    </row>
    <row r="27" spans="1:9" ht="24.95" customHeight="1" x14ac:dyDescent="0.25">
      <c r="A27" s="21" t="s">
        <v>35</v>
      </c>
      <c r="B27" s="2">
        <f>COUNTA('Noticias y Newsletter'!A5:A104)</f>
        <v>2</v>
      </c>
      <c r="C27" s="2">
        <f>COUNTIF('Noticias y Newsletter'!C5:C104,"Pendiente")</f>
        <v>1</v>
      </c>
      <c r="D27" s="2">
        <f>COUNTIF('Noticias y Newsletter'!C5:C104,"En curso")</f>
        <v>0</v>
      </c>
      <c r="E27" s="2">
        <f>COUNTIF('Noticias y Newsletter'!C5:C104,"Bloqueado")</f>
        <v>0</v>
      </c>
      <c r="F27" s="2">
        <f>COUNTIF('Noticias y Newsletter'!C5:C104,"Por validar")</f>
        <v>1</v>
      </c>
      <c r="G27" s="2">
        <f>COUNTIF('Noticias y Newsletter'!C5:C104,"Resuelto")</f>
        <v>0</v>
      </c>
      <c r="H27" s="6">
        <f t="shared" si="2"/>
        <v>0</v>
      </c>
      <c r="I27" s="26"/>
    </row>
    <row r="28" spans="1:9" ht="24.95" customHeight="1" x14ac:dyDescent="0.25">
      <c r="A28" s="21" t="s">
        <v>37</v>
      </c>
      <c r="B28" s="2">
        <f>COUNTA(Gobernanza!A5:A104)</f>
        <v>4</v>
      </c>
      <c r="C28" s="2">
        <f>COUNTIF(Gobernanza!C5:C104,"Pendiente")</f>
        <v>4</v>
      </c>
      <c r="D28" s="2">
        <f>COUNTIF(Gobernanza!C5:C104,"En curso")</f>
        <v>0</v>
      </c>
      <c r="E28" s="2">
        <f>COUNTIF(Gobernanza!C5:C104,"Bloqueado")</f>
        <v>0</v>
      </c>
      <c r="F28" s="2">
        <f>COUNTIF(Gobernanza!C5:C104,"Por validar")</f>
        <v>0</v>
      </c>
      <c r="G28" s="2">
        <f>COUNTIF(Gobernanza!C5:C104,"Resuelto")</f>
        <v>0</v>
      </c>
      <c r="H28" s="6">
        <f t="shared" si="2"/>
        <v>0</v>
      </c>
      <c r="I28" s="26"/>
    </row>
    <row r="29" spans="1:9" ht="24.95" customHeight="1" x14ac:dyDescent="0.25">
      <c r="A29" s="21" t="s">
        <v>39</v>
      </c>
      <c r="B29" s="2">
        <f>COUNTA(Auditorias!A5:A104)</f>
        <v>4</v>
      </c>
      <c r="C29" s="2">
        <f>COUNTIF(Auditorias!C5:C104,"Pendiente")</f>
        <v>4</v>
      </c>
      <c r="D29" s="2">
        <f>COUNTIF(Auditorias!C5:C104,"En curso")</f>
        <v>0</v>
      </c>
      <c r="E29" s="2">
        <f>COUNTIF(Auditorias!C5:C104,"Bloqueado")</f>
        <v>0</v>
      </c>
      <c r="F29" s="2">
        <f>COUNTIF(Auditorias!C5:C104,"Por validar")</f>
        <v>0</v>
      </c>
      <c r="G29" s="2">
        <f>COUNTIF(Auditorias!C5:C104,"Resuelto")</f>
        <v>0</v>
      </c>
      <c r="H29" s="6">
        <f t="shared" si="2"/>
        <v>0</v>
      </c>
      <c r="I29" s="26"/>
    </row>
    <row r="30" spans="1:9" ht="24.95" customHeight="1" x14ac:dyDescent="0.25">
      <c r="A30" s="21" t="s">
        <v>41</v>
      </c>
      <c r="B30" s="2">
        <f>COUNTA(Seguridad!A5:A104)</f>
        <v>10</v>
      </c>
      <c r="C30" s="2">
        <f>COUNTIF(Seguridad!C5:C104,"Pendiente")</f>
        <v>10</v>
      </c>
      <c r="D30" s="2">
        <f>COUNTIF(Seguridad!C5:C104,"En curso")</f>
        <v>0</v>
      </c>
      <c r="E30" s="2">
        <f>COUNTIF(Seguridad!C5:C104,"Bloqueado")</f>
        <v>0</v>
      </c>
      <c r="F30" s="2">
        <f>COUNTIF(Seguridad!C5:C104,"Por validar")</f>
        <v>0</v>
      </c>
      <c r="G30" s="2">
        <f>COUNTIF(Seguridad!C5:C104,"Resuelto")</f>
        <v>0</v>
      </c>
      <c r="H30" s="6">
        <f t="shared" si="2"/>
        <v>0</v>
      </c>
      <c r="I30" s="26"/>
    </row>
    <row r="31" spans="1:9" ht="24.95" customHeight="1" x14ac:dyDescent="0.25">
      <c r="A31" s="21" t="s">
        <v>43</v>
      </c>
      <c r="B31" s="2">
        <f>COUNTA(Preproduccion!A5:A104)</f>
        <v>5</v>
      </c>
      <c r="C31" s="2">
        <f>COUNTIF(Preproduccion!C5:C104,"Pendiente")</f>
        <v>5</v>
      </c>
      <c r="D31" s="2">
        <f>COUNTIF(Preproduccion!C5:C104,"En curso")</f>
        <v>0</v>
      </c>
      <c r="E31" s="2">
        <f>COUNTIF(Preproduccion!C5:C104,"Bloqueado")</f>
        <v>0</v>
      </c>
      <c r="F31" s="2">
        <f>COUNTIF(Preproduccion!C5:C104,"Por validar")</f>
        <v>0</v>
      </c>
      <c r="G31" s="2">
        <f>COUNTIF(Preproduccion!C5:C104,"Resuelto")</f>
        <v>0</v>
      </c>
      <c r="H31" s="6">
        <f t="shared" si="2"/>
        <v>0</v>
      </c>
      <c r="I31" s="26"/>
    </row>
    <row r="32" spans="1:9" ht="24.95" customHeight="1" x14ac:dyDescent="0.25">
      <c r="A32" s="21" t="s">
        <v>45</v>
      </c>
      <c r="B32" s="2">
        <f>COUNTA(Produccion!A5:A104)</f>
        <v>5</v>
      </c>
      <c r="C32" s="2">
        <f>COUNTIF(Produccion!C5:C104,"Pendiente")</f>
        <v>5</v>
      </c>
      <c r="D32" s="2">
        <f>COUNTIF(Produccion!C5:C104,"En curso")</f>
        <v>0</v>
      </c>
      <c r="E32" s="2">
        <f>COUNTIF(Produccion!C5:C104,"Bloqueado")</f>
        <v>0</v>
      </c>
      <c r="F32" s="2">
        <f>COUNTIF(Produccion!C5:C104,"Por validar")</f>
        <v>0</v>
      </c>
      <c r="G32" s="2">
        <f>COUNTIF(Produccion!C5:C104,"Resuelto")</f>
        <v>0</v>
      </c>
      <c r="H32" s="6">
        <f t="shared" si="2"/>
        <v>0</v>
      </c>
      <c r="I32" s="26"/>
    </row>
    <row r="33" spans="1:9" ht="24.95" customHeight="1" x14ac:dyDescent="0.25">
      <c r="A33" s="21" t="s">
        <v>47</v>
      </c>
      <c r="B33" s="2">
        <f>COUNTA('Informe de Costes'!A5:A104)</f>
        <v>5</v>
      </c>
      <c r="C33" s="2">
        <f>COUNTIF('Informe de Costes'!C5:C104,"Pendiente")</f>
        <v>5</v>
      </c>
      <c r="D33" s="2">
        <f>COUNTIF('Informe de Costes'!C5:C104,"En curso")</f>
        <v>0</v>
      </c>
      <c r="E33" s="2">
        <f>COUNTIF('Informe de Costes'!C5:C104,"Bloqueado")</f>
        <v>0</v>
      </c>
      <c r="F33" s="2">
        <f>COUNTIF('Informe de Costes'!C5:C104,"Por validar")</f>
        <v>0</v>
      </c>
      <c r="G33" s="2">
        <f>COUNTIF('Informe de Costes'!C5:C104,"Resuelto")</f>
        <v>0</v>
      </c>
      <c r="H33" s="6">
        <f t="shared" si="2"/>
        <v>0</v>
      </c>
      <c r="I33" s="26"/>
    </row>
    <row r="34" spans="1:9" ht="24.95" customHeight="1" x14ac:dyDescent="0.25">
      <c r="A34" s="21" t="s">
        <v>49</v>
      </c>
      <c r="B34" s="2">
        <f>COUNTA('Estimaciones de Horas'!A5:A7)</f>
        <v>3</v>
      </c>
      <c r="C34" s="2">
        <f>COUNTIF('Estimaciones de Horas'!C5:C7,"Pendiente")</f>
        <v>1</v>
      </c>
      <c r="D34" s="2">
        <f>COUNTIF('Estimaciones de Horas'!C5:C7,"En curso")</f>
        <v>0</v>
      </c>
      <c r="E34" s="2">
        <f>COUNTIF('Estimaciones de Horas'!C5:C7,"Bloqueado")</f>
        <v>0</v>
      </c>
      <c r="F34" s="2">
        <f>COUNTIF('Estimaciones de Horas'!C5:C7,"Por validar")</f>
        <v>2</v>
      </c>
      <c r="G34" s="2">
        <f>COUNTIF('Estimaciones de Horas'!C5:C7,"Resuelto")</f>
        <v>0</v>
      </c>
      <c r="H34" s="6">
        <f t="shared" si="2"/>
        <v>0</v>
      </c>
      <c r="I34" s="26"/>
    </row>
    <row r="35" spans="1:9" x14ac:dyDescent="0.25">
      <c r="A35" s="22" t="s">
        <v>54</v>
      </c>
      <c r="B35" s="22">
        <f>COUNTA('Mundo 2D'!A5:A104)</f>
        <v>6</v>
      </c>
      <c r="C35" s="22">
        <f>COUNTIF('Mundo 2D'!C5:C104,"Pendiente")</f>
        <v>1</v>
      </c>
      <c r="D35" s="22">
        <f>COUNTIF('Mundo 2D'!C5:C104,"En curso")</f>
        <v>0</v>
      </c>
      <c r="E35" s="22">
        <f>COUNTIF('Mundo 2D'!C5:C104,"Bloqueado")</f>
        <v>0</v>
      </c>
      <c r="F35" s="22">
        <f>COUNTIF('Mundo 2D'!C5:C104,"Por validar")</f>
        <v>5</v>
      </c>
      <c r="G35" s="22">
        <f>COUNTIF('Mundo 2D'!C5:C104,"Resuelto")</f>
        <v>0</v>
      </c>
      <c r="H35" s="24">
        <f t="shared" si="2"/>
        <v>0</v>
      </c>
      <c r="I35" s="26"/>
    </row>
    <row r="36" spans="1:9" x14ac:dyDescent="0.25">
      <c r="A36" s="22" t="s">
        <v>56</v>
      </c>
      <c r="B36" s="22">
        <f>COUNTA('Mundo 3D'!A5:A104)</f>
        <v>6</v>
      </c>
      <c r="C36" s="22">
        <f>COUNTIF('Mundo 3D'!C5:C104,"Pendiente")</f>
        <v>1</v>
      </c>
      <c r="D36" s="22">
        <f>COUNTIF('Mundo 3D'!C5:C104,"En curso")</f>
        <v>0</v>
      </c>
      <c r="E36" s="22">
        <f>COUNTIF('Mundo 3D'!C5:C104,"Bloqueado")</f>
        <v>0</v>
      </c>
      <c r="F36" s="22">
        <f>COUNTIF('Mundo 3D'!C5:C104,"Por validar")</f>
        <v>5</v>
      </c>
      <c r="G36" s="22">
        <f>COUNTIF('Mundo 3D'!C5:C104,"Resuelto")</f>
        <v>0</v>
      </c>
      <c r="H36" s="24">
        <f t="shared" si="2"/>
        <v>0</v>
      </c>
      <c r="I36" s="26"/>
    </row>
    <row r="37" spans="1:9" x14ac:dyDescent="0.25">
      <c r="A37" s="41" t="s">
        <v>58</v>
      </c>
      <c r="B37" s="42">
        <f>COUNTA(Holograma!A5:A104)</f>
        <v>6</v>
      </c>
      <c r="C37" s="42">
        <f>COUNTIF(Holograma!C5:C104,"Pendiente")</f>
        <v>1</v>
      </c>
      <c r="D37" s="22">
        <f>COUNTIF(Holograma!C5:C104,"En curso")</f>
        <v>0</v>
      </c>
      <c r="E37" s="22">
        <f>COUNTIF(Holograma!C5:C104,"Bloqueado")</f>
        <v>0</v>
      </c>
      <c r="F37" s="22">
        <f>COUNTIF(Holograma!C5:C104,"Por validar")</f>
        <v>5</v>
      </c>
      <c r="G37" s="22">
        <f>COUNTIF(Holograma!C5:C104,"Resuelto")</f>
        <v>0</v>
      </c>
      <c r="H37" s="24">
        <f t="shared" si="2"/>
        <v>0</v>
      </c>
      <c r="I37" s="26"/>
    </row>
    <row r="38" spans="1:9" ht="30" customHeight="1" x14ac:dyDescent="0.25">
      <c r="A38" s="1" t="s">
        <v>60</v>
      </c>
      <c r="B38" s="1">
        <f>COUNTA('mIA-Desktop'!A5:A104)</f>
        <v>6</v>
      </c>
      <c r="C38" s="1">
        <f>COUNTIF('mIA-Desktop'!C5:C104,"Pendiente")</f>
        <v>1</v>
      </c>
      <c r="D38" s="22">
        <f>COUNTIF('mIA-Desktop'!C5:C104,"En curso")</f>
        <v>0</v>
      </c>
      <c r="E38" s="22">
        <f>COUNTIF('mIA-Desktop'!C5:C104,"Bloqueado")</f>
        <v>0</v>
      </c>
      <c r="F38" s="22">
        <f>COUNTIF('mIA-Desktop'!C5:C104,"Por validar")</f>
        <v>5</v>
      </c>
      <c r="G38" s="22">
        <f>COUNTIF('mIA-Desktop'!C5:C104,"Resuelto")</f>
        <v>0</v>
      </c>
      <c r="H38" s="24">
        <f t="shared" si="2"/>
        <v>0</v>
      </c>
      <c r="I38" s="26"/>
    </row>
    <row r="39" spans="1:9" x14ac:dyDescent="0.25">
      <c r="A39" s="7" t="s">
        <v>62</v>
      </c>
      <c r="B39" s="8">
        <f>COUNTA(Multiidioma!A5:A104)</f>
        <v>7</v>
      </c>
      <c r="C39" s="7">
        <f>COUNTIF(Multiidioma!C5:C104,"Pendiente")</f>
        <v>1</v>
      </c>
      <c r="D39" s="22">
        <f>COUNTIF(Multiidioma!C5:C104,"En curso")</f>
        <v>0</v>
      </c>
      <c r="E39" s="22">
        <f>COUNTIF(Multiidioma!C5:C104,"Bloqueado")</f>
        <v>0</v>
      </c>
      <c r="F39" s="22">
        <f>COUNTIF(Multiidioma!C5:C104,"Por validar")</f>
        <v>6</v>
      </c>
      <c r="G39" s="22">
        <f>COUNTIF(Multiidioma!C5:C104,"Resuelto")</f>
        <v>0</v>
      </c>
      <c r="H39" s="24">
        <f t="shared" si="2"/>
        <v>0</v>
      </c>
      <c r="I39" s="27"/>
    </row>
    <row r="40" spans="1:9" x14ac:dyDescent="0.25">
      <c r="A40" s="7"/>
      <c r="B40" s="8"/>
      <c r="C40" s="7"/>
    </row>
    <row r="41" spans="1:9" x14ac:dyDescent="0.25">
      <c r="A41" s="7"/>
      <c r="B41" s="8"/>
      <c r="C41" s="7"/>
    </row>
    <row r="42" spans="1:9" x14ac:dyDescent="0.25">
      <c r="A42" s="7"/>
      <c r="B42" s="8"/>
      <c r="C42" s="7"/>
    </row>
    <row r="43" spans="1:9" x14ac:dyDescent="0.25">
      <c r="A43" s="7"/>
      <c r="B43" s="8"/>
      <c r="C43" s="7"/>
    </row>
    <row r="45" spans="1:9" ht="24" customHeight="1" x14ac:dyDescent="0.25">
      <c r="A45" t="s">
        <v>81</v>
      </c>
    </row>
    <row r="46" spans="1:9" x14ac:dyDescent="0.25">
      <c r="A46" t="s">
        <v>82</v>
      </c>
      <c r="B46" t="s">
        <v>83</v>
      </c>
      <c r="C46" t="s">
        <v>84</v>
      </c>
    </row>
    <row r="47" spans="1:9" x14ac:dyDescent="0.25">
      <c r="A47" t="s">
        <v>85</v>
      </c>
      <c r="B47">
        <v>50400</v>
      </c>
      <c r="C47" t="s">
        <v>86</v>
      </c>
    </row>
    <row r="48" spans="1:9" x14ac:dyDescent="0.25">
      <c r="A48" t="s">
        <v>87</v>
      </c>
      <c r="B48">
        <v>6750</v>
      </c>
      <c r="C48" t="s">
        <v>88</v>
      </c>
    </row>
    <row r="49" spans="1:3" x14ac:dyDescent="0.25">
      <c r="A49" t="s">
        <v>89</v>
      </c>
      <c r="B49">
        <v>57150</v>
      </c>
      <c r="C49" t="s">
        <v>90</v>
      </c>
    </row>
    <row r="50" spans="1:3" x14ac:dyDescent="0.25">
      <c r="A50" t="s">
        <v>91</v>
      </c>
      <c r="B50">
        <v>72</v>
      </c>
      <c r="C50" t="s">
        <v>92</v>
      </c>
    </row>
    <row r="51" spans="1:3" x14ac:dyDescent="0.25">
      <c r="A51" t="s">
        <v>93</v>
      </c>
      <c r="B51">
        <v>122.56</v>
      </c>
      <c r="C51" t="s">
        <v>94</v>
      </c>
    </row>
  </sheetData>
  <mergeCells count="4">
    <mergeCell ref="A12:H12"/>
    <mergeCell ref="A37:C37"/>
    <mergeCell ref="A2:H2"/>
    <mergeCell ref="A1:H1"/>
  </mergeCells>
  <hyperlinks>
    <hyperlink ref="A15" location="'Arquitectura'!A1" display="Arquitectura" xr:uid="{00000000-0004-0000-0100-000000000000}"/>
    <hyperlink ref="A16" location="'Login y Autenticación'!A1" display="Login y Autenticación" xr:uid="{00000000-0004-0000-0100-000001000000}"/>
    <hyperlink ref="A17" location="'Correo'!A1" display="Correo" xr:uid="{00000000-0004-0000-0100-000002000000}"/>
    <hyperlink ref="A18" location="'Empleados'!A1" display="Empleados" xr:uid="{00000000-0004-0000-0100-000003000000}"/>
    <hyperlink ref="A19" location="'Boletines TT'!A1" display="Boletines TT" xr:uid="{00000000-0004-0000-0100-000004000000}"/>
    <hyperlink ref="A20" location="'Turnos'!A1" display="Turnos" xr:uid="{00000000-0004-0000-0100-000005000000}"/>
    <hyperlink ref="A21" location="'Fichajes'!A1" display="Fichajes" xr:uid="{00000000-0004-0000-0100-000006000000}"/>
    <hyperlink ref="A22" location="'Nominas'!A1" display="Nominas" xr:uid="{00000000-0004-0000-0100-000007000000}"/>
    <hyperlink ref="A23" location="'Vacaciones y Asuntos Propios'!A1" display="Vacaciones y Asuntos Propios" xr:uid="{00000000-0004-0000-0100-000008000000}"/>
    <hyperlink ref="A24" location="'Absentismo'!A1" display="Absentismo" xr:uid="{00000000-0004-0000-0100-000009000000}"/>
    <hyperlink ref="A25" location="'Informes y Reporting'!A1" display="Informes y Reporting" xr:uid="{00000000-0004-0000-0100-00000A000000}"/>
    <hyperlink ref="A26" location="'Tratamiento de Adjuntos'!A1" display="Tratamiento de Adjuntos" xr:uid="{00000000-0004-0000-0100-00000B000000}"/>
    <hyperlink ref="A27" location="'Noticias y Newsletter'!A1" display="Noticias y Newsletter" xr:uid="{00000000-0004-0000-0100-00000C000000}"/>
    <hyperlink ref="A28" location="'Gobernanza'!A1" display="Gobernanza" xr:uid="{00000000-0004-0000-0100-00000D000000}"/>
    <hyperlink ref="A29" location="'Auditorias'!A1" display="Auditorias" xr:uid="{00000000-0004-0000-0100-00000E000000}"/>
    <hyperlink ref="A30" location="'Seguridad'!A1" display="Seguridad" xr:uid="{00000000-0004-0000-0100-00000F000000}"/>
    <hyperlink ref="A31" location="'Preproduccion'!A1" display="Preproduccion" xr:uid="{00000000-0004-0000-0100-000010000000}"/>
    <hyperlink ref="A32" location="'Produccion'!A1" display="Produccion" xr:uid="{00000000-0004-0000-0100-000011000000}"/>
    <hyperlink ref="A33" location="'Informe de Costes'!A1" display="Informe de Costes" xr:uid="{00000000-0004-0000-0100-000012000000}"/>
    <hyperlink ref="A34" location="'Estimaciones de Horas'!A1" display="Estimaciones de Horas" xr:uid="{00000000-0004-0000-0100-000013000000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E78"/>
  </sheetPr>
  <dimension ref="A1:J158"/>
  <sheetViews>
    <sheetView showGridLines="0" workbookViewId="0">
      <pane ySplit="4" topLeftCell="A188" activePane="bottomLeft" state="frozen"/>
      <selection pane="bottomLeft" sqref="A1:H1"/>
    </sheetView>
  </sheetViews>
  <sheetFormatPr baseColWidth="10" defaultColWidth="9.140625" defaultRowHeight="15" x14ac:dyDescent="0.25"/>
  <cols>
    <col min="1" max="1" width="20" customWidth="1"/>
    <col min="2" max="2" width="55" customWidth="1"/>
    <col min="3" max="3" width="18" customWidth="1"/>
    <col min="4" max="4" width="14" customWidth="1"/>
    <col min="5" max="5" width="20" customWidth="1"/>
    <col min="6" max="6" width="16" customWidth="1"/>
    <col min="7" max="7" width="72" customWidth="1"/>
    <col min="8" max="8" width="16" customWidth="1"/>
    <col min="10" max="10" width="12" customWidth="1"/>
  </cols>
  <sheetData>
    <row r="1" spans="1:10" ht="32.1" customHeight="1" x14ac:dyDescent="0.25">
      <c r="A1" s="39" t="s">
        <v>95</v>
      </c>
      <c r="B1" s="38"/>
      <c r="C1" s="38"/>
      <c r="D1" s="38"/>
      <c r="E1" s="38"/>
      <c r="F1" s="38"/>
      <c r="G1" s="38"/>
      <c r="H1" s="38"/>
      <c r="J1" s="9" t="s">
        <v>96</v>
      </c>
    </row>
    <row r="2" spans="1:10" ht="27.95" customHeight="1" x14ac:dyDescent="0.25">
      <c r="A2" s="37" t="s">
        <v>97</v>
      </c>
      <c r="B2" s="38"/>
      <c r="C2" s="38"/>
      <c r="D2" s="38"/>
      <c r="E2" s="38"/>
      <c r="F2" s="38"/>
      <c r="G2" s="38"/>
      <c r="H2" s="38"/>
    </row>
    <row r="4" spans="1:10" ht="15.75" x14ac:dyDescent="0.25">
      <c r="A4" s="52" t="s">
        <v>98</v>
      </c>
      <c r="B4" s="38"/>
      <c r="C4" s="38"/>
      <c r="D4" s="38"/>
      <c r="E4" s="38"/>
      <c r="F4" s="38"/>
      <c r="G4" s="38"/>
      <c r="H4" s="38"/>
    </row>
    <row r="5" spans="1:10" ht="36" customHeight="1" x14ac:dyDescent="0.25">
      <c r="A5" s="45" t="s">
        <v>99</v>
      </c>
      <c r="B5" s="46"/>
      <c r="C5" s="47" t="s">
        <v>100</v>
      </c>
      <c r="D5" s="48"/>
      <c r="E5" s="48"/>
      <c r="F5" s="48"/>
      <c r="G5" s="48"/>
      <c r="H5" s="46"/>
    </row>
    <row r="6" spans="1:10" ht="20.100000000000001" customHeight="1" x14ac:dyDescent="0.25">
      <c r="A6" s="49" t="s">
        <v>101</v>
      </c>
      <c r="B6" s="38"/>
      <c r="C6" s="38"/>
      <c r="D6" s="38"/>
      <c r="E6" s="38"/>
      <c r="F6" s="38"/>
      <c r="G6" s="38"/>
      <c r="H6" s="38"/>
    </row>
    <row r="7" spans="1:10" ht="36" customHeight="1" x14ac:dyDescent="0.25">
      <c r="A7" s="45" t="s">
        <v>102</v>
      </c>
      <c r="B7" s="46"/>
      <c r="C7" s="47" t="s">
        <v>103</v>
      </c>
      <c r="D7" s="48"/>
      <c r="E7" s="48"/>
      <c r="F7" s="48"/>
      <c r="G7" s="48"/>
      <c r="H7" s="46"/>
    </row>
    <row r="8" spans="1:10" ht="20.100000000000001" customHeight="1" x14ac:dyDescent="0.25">
      <c r="A8" s="49" t="s">
        <v>101</v>
      </c>
      <c r="B8" s="38"/>
      <c r="C8" s="38"/>
      <c r="D8" s="38"/>
      <c r="E8" s="38"/>
      <c r="F8" s="38"/>
      <c r="G8" s="38"/>
      <c r="H8" s="38"/>
    </row>
    <row r="9" spans="1:10" ht="36" customHeight="1" x14ac:dyDescent="0.25">
      <c r="A9" s="45" t="s">
        <v>104</v>
      </c>
      <c r="B9" s="46"/>
      <c r="C9" s="47" t="s">
        <v>105</v>
      </c>
      <c r="D9" s="48"/>
      <c r="E9" s="48"/>
      <c r="F9" s="48"/>
      <c r="G9" s="48"/>
      <c r="H9" s="46"/>
    </row>
    <row r="10" spans="1:10" ht="20.100000000000001" customHeight="1" x14ac:dyDescent="0.25">
      <c r="A10" s="49" t="s">
        <v>101</v>
      </c>
      <c r="B10" s="38"/>
      <c r="C10" s="38"/>
      <c r="D10" s="38"/>
      <c r="E10" s="38"/>
      <c r="F10" s="38"/>
      <c r="G10" s="38"/>
      <c r="H10" s="38"/>
    </row>
    <row r="11" spans="1:10" ht="36" customHeight="1" x14ac:dyDescent="0.25">
      <c r="A11" s="45" t="s">
        <v>106</v>
      </c>
      <c r="B11" s="46"/>
      <c r="C11" s="47" t="s">
        <v>107</v>
      </c>
      <c r="D11" s="48"/>
      <c r="E11" s="48"/>
      <c r="F11" s="48"/>
      <c r="G11" s="48"/>
      <c r="H11" s="46"/>
    </row>
    <row r="12" spans="1:10" ht="20.100000000000001" customHeight="1" x14ac:dyDescent="0.25">
      <c r="A12" s="49" t="s">
        <v>101</v>
      </c>
      <c r="B12" s="38"/>
      <c r="C12" s="38"/>
      <c r="D12" s="38"/>
      <c r="E12" s="38"/>
      <c r="F12" s="38"/>
      <c r="G12" s="38"/>
      <c r="H12" s="38"/>
    </row>
    <row r="13" spans="1:10" ht="36" customHeight="1" x14ac:dyDescent="0.25">
      <c r="A13" s="45" t="s">
        <v>108</v>
      </c>
      <c r="B13" s="46"/>
      <c r="C13" s="47" t="s">
        <v>109</v>
      </c>
      <c r="D13" s="48"/>
      <c r="E13" s="48"/>
      <c r="F13" s="48"/>
      <c r="G13" s="48"/>
      <c r="H13" s="46"/>
    </row>
    <row r="14" spans="1:10" ht="20.100000000000001" customHeight="1" x14ac:dyDescent="0.25">
      <c r="A14" s="49" t="s">
        <v>101</v>
      </c>
      <c r="B14" s="38"/>
      <c r="C14" s="38"/>
      <c r="D14" s="38"/>
      <c r="E14" s="38"/>
      <c r="F14" s="38"/>
      <c r="G14" s="38"/>
      <c r="H14" s="38"/>
    </row>
    <row r="15" spans="1:10" ht="36" customHeight="1" x14ac:dyDescent="0.25">
      <c r="A15" s="45" t="s">
        <v>110</v>
      </c>
      <c r="B15" s="46"/>
      <c r="C15" s="47" t="s">
        <v>111</v>
      </c>
      <c r="D15" s="48"/>
      <c r="E15" s="48"/>
      <c r="F15" s="48"/>
      <c r="G15" s="48"/>
      <c r="H15" s="46"/>
    </row>
    <row r="16" spans="1:10" ht="20.100000000000001" customHeight="1" x14ac:dyDescent="0.25">
      <c r="A16" s="49" t="s">
        <v>101</v>
      </c>
      <c r="B16" s="38"/>
      <c r="C16" s="38"/>
      <c r="D16" s="38"/>
      <c r="E16" s="38"/>
      <c r="F16" s="38"/>
      <c r="G16" s="38"/>
      <c r="H16" s="38"/>
    </row>
    <row r="17" spans="1:8" ht="36" customHeight="1" x14ac:dyDescent="0.25">
      <c r="A17" s="45" t="s">
        <v>112</v>
      </c>
      <c r="B17" s="46"/>
      <c r="C17" s="47" t="s">
        <v>113</v>
      </c>
      <c r="D17" s="48"/>
      <c r="E17" s="48"/>
      <c r="F17" s="48"/>
      <c r="G17" s="48"/>
      <c r="H17" s="46"/>
    </row>
    <row r="19" spans="1:8" ht="15.75" x14ac:dyDescent="0.25">
      <c r="A19" s="52" t="s">
        <v>114</v>
      </c>
      <c r="B19" s="38"/>
      <c r="C19" s="38"/>
      <c r="D19" s="38"/>
      <c r="E19" s="38"/>
      <c r="F19" s="38"/>
      <c r="G19" s="38"/>
      <c r="H19" s="38"/>
    </row>
    <row r="20" spans="1:8" ht="30" customHeight="1" x14ac:dyDescent="0.25">
      <c r="A20" s="1" t="s">
        <v>115</v>
      </c>
      <c r="B20" s="1" t="s">
        <v>116</v>
      </c>
      <c r="C20" s="53" t="s">
        <v>117</v>
      </c>
      <c r="D20" s="54"/>
      <c r="E20" s="54"/>
      <c r="F20" s="54"/>
      <c r="G20" s="54"/>
      <c r="H20" s="54"/>
    </row>
    <row r="21" spans="1:8" ht="32.1" customHeight="1" x14ac:dyDescent="0.25">
      <c r="A21" s="7" t="s">
        <v>118</v>
      </c>
      <c r="B21" s="7" t="s">
        <v>119</v>
      </c>
      <c r="C21" s="43" t="s">
        <v>120</v>
      </c>
      <c r="D21" s="44"/>
      <c r="E21" s="44"/>
      <c r="F21" s="44"/>
      <c r="G21" s="44"/>
      <c r="H21" s="44"/>
    </row>
    <row r="22" spans="1:8" ht="32.1" customHeight="1" x14ac:dyDescent="0.25">
      <c r="A22" s="7" t="s">
        <v>121</v>
      </c>
      <c r="B22" s="7" t="s">
        <v>122</v>
      </c>
      <c r="C22" s="43" t="s">
        <v>123</v>
      </c>
      <c r="D22" s="44"/>
      <c r="E22" s="44"/>
      <c r="F22" s="44"/>
      <c r="G22" s="44"/>
      <c r="H22" s="44"/>
    </row>
    <row r="23" spans="1:8" ht="32.1" customHeight="1" x14ac:dyDescent="0.25">
      <c r="A23" s="7" t="s">
        <v>124</v>
      </c>
      <c r="B23" s="7" t="s">
        <v>119</v>
      </c>
      <c r="C23" s="43" t="s">
        <v>125</v>
      </c>
      <c r="D23" s="44"/>
      <c r="E23" s="44"/>
      <c r="F23" s="44"/>
      <c r="G23" s="44"/>
      <c r="H23" s="44"/>
    </row>
    <row r="24" spans="1:8" ht="32.1" customHeight="1" x14ac:dyDescent="0.25">
      <c r="A24" s="7" t="s">
        <v>126</v>
      </c>
      <c r="B24" s="7" t="s">
        <v>127</v>
      </c>
      <c r="C24" s="43" t="s">
        <v>128</v>
      </c>
      <c r="D24" s="44"/>
      <c r="E24" s="44"/>
      <c r="F24" s="44"/>
      <c r="G24" s="44"/>
      <c r="H24" s="44"/>
    </row>
    <row r="25" spans="1:8" ht="32.1" customHeight="1" x14ac:dyDescent="0.25">
      <c r="A25" s="7" t="s">
        <v>129</v>
      </c>
      <c r="B25" s="7" t="s">
        <v>119</v>
      </c>
      <c r="C25" s="43" t="s">
        <v>130</v>
      </c>
      <c r="D25" s="44"/>
      <c r="E25" s="44"/>
      <c r="F25" s="44"/>
      <c r="G25" s="44"/>
      <c r="H25" s="44"/>
    </row>
    <row r="26" spans="1:8" ht="32.1" customHeight="1" x14ac:dyDescent="0.25">
      <c r="A26" s="7" t="s">
        <v>131</v>
      </c>
      <c r="B26" s="7" t="s">
        <v>119</v>
      </c>
      <c r="C26" s="43" t="s">
        <v>132</v>
      </c>
      <c r="D26" s="44"/>
      <c r="E26" s="44"/>
      <c r="F26" s="44"/>
      <c r="G26" s="44"/>
      <c r="H26" s="44"/>
    </row>
    <row r="27" spans="1:8" ht="32.1" customHeight="1" x14ac:dyDescent="0.25">
      <c r="A27" s="7" t="s">
        <v>133</v>
      </c>
      <c r="B27" s="7" t="s">
        <v>119</v>
      </c>
      <c r="C27" s="43" t="s">
        <v>134</v>
      </c>
      <c r="D27" s="44"/>
      <c r="E27" s="44"/>
      <c r="F27" s="44"/>
      <c r="G27" s="44"/>
      <c r="H27" s="44"/>
    </row>
    <row r="28" spans="1:8" ht="32.1" customHeight="1" x14ac:dyDescent="0.25">
      <c r="A28" s="7" t="s">
        <v>135</v>
      </c>
      <c r="B28" s="7" t="s">
        <v>122</v>
      </c>
      <c r="C28" s="43" t="s">
        <v>136</v>
      </c>
      <c r="D28" s="44"/>
      <c r="E28" s="44"/>
      <c r="F28" s="44"/>
      <c r="G28" s="44"/>
      <c r="H28" s="44"/>
    </row>
    <row r="29" spans="1:8" ht="32.1" customHeight="1" x14ac:dyDescent="0.25">
      <c r="A29" s="7" t="s">
        <v>137</v>
      </c>
      <c r="B29" s="7" t="s">
        <v>138</v>
      </c>
      <c r="C29" s="43" t="s">
        <v>139</v>
      </c>
      <c r="D29" s="44"/>
      <c r="E29" s="44"/>
      <c r="F29" s="44"/>
      <c r="G29" s="44"/>
      <c r="H29" s="44"/>
    </row>
    <row r="30" spans="1:8" ht="32.1" customHeight="1" x14ac:dyDescent="0.25">
      <c r="A30" s="7" t="s">
        <v>140</v>
      </c>
      <c r="B30" s="7" t="s">
        <v>141</v>
      </c>
      <c r="C30" s="43" t="s">
        <v>142</v>
      </c>
      <c r="D30" s="44"/>
      <c r="E30" s="44"/>
      <c r="F30" s="44"/>
      <c r="G30" s="44"/>
      <c r="H30" s="44"/>
    </row>
    <row r="32" spans="1:8" ht="15.75" x14ac:dyDescent="0.25">
      <c r="A32" s="52" t="s">
        <v>143</v>
      </c>
      <c r="B32" s="38"/>
      <c r="C32" s="38"/>
      <c r="D32" s="38"/>
      <c r="E32" s="38"/>
      <c r="F32" s="38"/>
      <c r="G32" s="38"/>
      <c r="H32" s="38"/>
    </row>
    <row r="33" spans="1:5" x14ac:dyDescent="0.25">
      <c r="A33" s="51" t="s">
        <v>144</v>
      </c>
      <c r="B33" s="38"/>
      <c r="C33" s="38"/>
      <c r="D33" s="38"/>
      <c r="E33" s="38"/>
    </row>
    <row r="72" spans="1:5" x14ac:dyDescent="0.25">
      <c r="A72" s="51" t="s">
        <v>145</v>
      </c>
      <c r="B72" s="38"/>
      <c r="C72" s="38"/>
      <c r="D72" s="38"/>
      <c r="E72" s="38"/>
    </row>
    <row r="111" spans="1:5" x14ac:dyDescent="0.25">
      <c r="A111" s="51" t="s">
        <v>146</v>
      </c>
      <c r="B111" s="38"/>
      <c r="C111" s="38"/>
      <c r="D111" s="38"/>
      <c r="E111" s="38"/>
    </row>
    <row r="150" spans="1:8" x14ac:dyDescent="0.25">
      <c r="A150" s="51" t="s">
        <v>147</v>
      </c>
      <c r="B150" s="38"/>
      <c r="C150" s="38"/>
      <c r="D150" s="38"/>
      <c r="E150" s="38"/>
    </row>
    <row r="153" spans="1:8" ht="15.75" x14ac:dyDescent="0.25">
      <c r="A153" s="50" t="s">
        <v>148</v>
      </c>
      <c r="B153" s="38"/>
      <c r="C153" s="38"/>
      <c r="D153" s="38"/>
      <c r="E153" s="38"/>
      <c r="F153" s="38"/>
      <c r="G153" s="38"/>
      <c r="H153" s="38"/>
    </row>
    <row r="154" spans="1:8" x14ac:dyDescent="0.25">
      <c r="A154" s="19" t="s">
        <v>149</v>
      </c>
      <c r="B154" s="19" t="s">
        <v>150</v>
      </c>
      <c r="C154" s="19" t="s">
        <v>68</v>
      </c>
      <c r="D154" s="19" t="s">
        <v>151</v>
      </c>
      <c r="E154" s="19" t="s">
        <v>152</v>
      </c>
      <c r="F154" s="19" t="s">
        <v>153</v>
      </c>
      <c r="G154" s="19" t="s">
        <v>154</v>
      </c>
      <c r="H154" s="19" t="s">
        <v>155</v>
      </c>
    </row>
    <row r="155" spans="1:8" ht="38.1" customHeight="1" x14ac:dyDescent="0.25">
      <c r="A155" s="7" t="s">
        <v>156</v>
      </c>
      <c r="B155" s="7" t="s">
        <v>157</v>
      </c>
      <c r="C155" s="7" t="s">
        <v>75</v>
      </c>
      <c r="D155" s="7" t="s">
        <v>158</v>
      </c>
      <c r="E155" s="7" t="s">
        <v>159</v>
      </c>
      <c r="F155" s="7">
        <v>12</v>
      </c>
      <c r="G155" s="7" t="s">
        <v>160</v>
      </c>
      <c r="H155" s="7"/>
    </row>
    <row r="156" spans="1:8" ht="38.1" customHeight="1" x14ac:dyDescent="0.25">
      <c r="A156" s="7" t="s">
        <v>161</v>
      </c>
      <c r="B156" s="7" t="s">
        <v>162</v>
      </c>
      <c r="C156" s="7" t="s">
        <v>75</v>
      </c>
      <c r="D156" s="7" t="s">
        <v>163</v>
      </c>
      <c r="E156" s="7" t="s">
        <v>159</v>
      </c>
      <c r="F156" s="7">
        <v>6</v>
      </c>
      <c r="G156" s="7" t="s">
        <v>164</v>
      </c>
      <c r="H156" s="7"/>
    </row>
    <row r="157" spans="1:8" ht="38.1" customHeight="1" x14ac:dyDescent="0.25">
      <c r="A157" s="7" t="s">
        <v>165</v>
      </c>
      <c r="B157" s="7" t="s">
        <v>166</v>
      </c>
      <c r="C157" s="7" t="s">
        <v>72</v>
      </c>
      <c r="D157" s="7" t="s">
        <v>158</v>
      </c>
      <c r="E157" s="7" t="s">
        <v>159</v>
      </c>
      <c r="F157" s="7">
        <v>8</v>
      </c>
      <c r="G157" s="7" t="s">
        <v>167</v>
      </c>
      <c r="H157" s="7"/>
    </row>
    <row r="158" spans="1:8" ht="38.1" customHeight="1" x14ac:dyDescent="0.25">
      <c r="A158" s="7" t="s">
        <v>168</v>
      </c>
      <c r="B158" s="7" t="s">
        <v>169</v>
      </c>
      <c r="C158" s="7" t="s">
        <v>72</v>
      </c>
      <c r="D158" s="7" t="s">
        <v>163</v>
      </c>
      <c r="E158" s="7" t="s">
        <v>170</v>
      </c>
      <c r="F158" s="7">
        <v>12</v>
      </c>
      <c r="G158" s="7" t="s">
        <v>171</v>
      </c>
      <c r="H158" s="7"/>
    </row>
  </sheetData>
  <mergeCells count="41">
    <mergeCell ref="A150:E150"/>
    <mergeCell ref="C15:H15"/>
    <mergeCell ref="A4:H4"/>
    <mergeCell ref="C24:H24"/>
    <mergeCell ref="A72:E72"/>
    <mergeCell ref="C5:H5"/>
    <mergeCell ref="A10:H10"/>
    <mergeCell ref="A13:B13"/>
    <mergeCell ref="A19:H19"/>
    <mergeCell ref="A111:E111"/>
    <mergeCell ref="C26:H26"/>
    <mergeCell ref="A9:B9"/>
    <mergeCell ref="C29:H29"/>
    <mergeCell ref="C20:H20"/>
    <mergeCell ref="A33:E33"/>
    <mergeCell ref="A14:H14"/>
    <mergeCell ref="A17:B17"/>
    <mergeCell ref="A32:H32"/>
    <mergeCell ref="A8:H8"/>
    <mergeCell ref="C30:H30"/>
    <mergeCell ref="A1:H1"/>
    <mergeCell ref="C21:H21"/>
    <mergeCell ref="A6:H6"/>
    <mergeCell ref="C11:H11"/>
    <mergeCell ref="A153:H153"/>
    <mergeCell ref="A7:B7"/>
    <mergeCell ref="C27:H27"/>
    <mergeCell ref="A16:H16"/>
    <mergeCell ref="C23:H23"/>
    <mergeCell ref="C17:H17"/>
    <mergeCell ref="C7:H7"/>
    <mergeCell ref="A12:H12"/>
    <mergeCell ref="C28:H28"/>
    <mergeCell ref="C13:H13"/>
    <mergeCell ref="A2:H2"/>
    <mergeCell ref="A5:B5"/>
    <mergeCell ref="C25:H25"/>
    <mergeCell ref="A15:B15"/>
    <mergeCell ref="C22:H22"/>
    <mergeCell ref="A11:B11"/>
    <mergeCell ref="C9:H9"/>
  </mergeCells>
  <conditionalFormatting sqref="C155:C253">
    <cfRule type="expression" dxfId="149" priority="1">
      <formula>C155="Pendiente"</formula>
    </cfRule>
    <cfRule type="expression" dxfId="148" priority="2">
      <formula>C155="En curso"</formula>
    </cfRule>
    <cfRule type="expression" dxfId="147" priority="3">
      <formula>C155="Bloqueado"</formula>
    </cfRule>
    <cfRule type="expression" dxfId="146" priority="4">
      <formula>C155="Por validar"</formula>
    </cfRule>
    <cfRule type="expression" dxfId="145" priority="5">
      <formula>C155="Resuelto"</formula>
    </cfRule>
    <cfRule type="expression" dxfId="144" priority="6">
      <formula>C155="Descartado"</formula>
    </cfRule>
  </conditionalFormatting>
  <dataValidations count="1">
    <dataValidation type="list" allowBlank="1" sqref="C155:C253" xr:uid="{00000000-0002-0000-0200-000000000000}">
      <formula1>"Pendiente,En curso,Bloqueado,Por validar,Resuelto,Descartado"</formula1>
    </dataValidation>
  </dataValidations>
  <hyperlinks>
    <hyperlink ref="J1" location="'Indice'!A1" display="↩ Índice" xr:uid="{00000000-0004-0000-0200-000000000000}"/>
  </hyperlink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4E78"/>
  </sheetPr>
  <dimension ref="A1:J8"/>
  <sheetViews>
    <sheetView showGridLines="0" workbookViewId="0">
      <pane ySplit="4" topLeftCell="A5" activePane="bottomLeft" state="frozen"/>
      <selection pane="bottomLeft" activeCell="B20" sqref="B20"/>
    </sheetView>
  </sheetViews>
  <sheetFormatPr baseColWidth="10" defaultColWidth="9.140625" defaultRowHeight="15" x14ac:dyDescent="0.25"/>
  <cols>
    <col min="1" max="1" width="18" customWidth="1"/>
    <col min="2" max="2" width="55" customWidth="1"/>
    <col min="3" max="3" width="18" customWidth="1"/>
    <col min="4" max="4" width="14" customWidth="1"/>
    <col min="5" max="5" width="20" customWidth="1"/>
    <col min="6" max="6" width="16" customWidth="1"/>
    <col min="7" max="7" width="72" customWidth="1"/>
    <col min="8" max="8" width="16" customWidth="1"/>
    <col min="10" max="10" width="12" customWidth="1"/>
  </cols>
  <sheetData>
    <row r="1" spans="1:10" ht="32.1" customHeight="1" x14ac:dyDescent="0.25">
      <c r="A1" s="39" t="s">
        <v>13</v>
      </c>
      <c r="B1" s="38"/>
      <c r="C1" s="38"/>
      <c r="D1" s="38"/>
      <c r="E1" s="38"/>
      <c r="F1" s="38"/>
      <c r="G1" s="38"/>
      <c r="H1" s="38"/>
      <c r="J1" s="9" t="s">
        <v>96</v>
      </c>
    </row>
    <row r="2" spans="1:10" ht="27.95" customHeight="1" x14ac:dyDescent="0.25">
      <c r="A2" s="37" t="s">
        <v>172</v>
      </c>
      <c r="B2" s="38"/>
      <c r="C2" s="38"/>
      <c r="D2" s="38"/>
      <c r="E2" s="38"/>
      <c r="F2" s="38"/>
      <c r="G2" s="38"/>
      <c r="H2" s="38"/>
    </row>
    <row r="4" spans="1:10" ht="30" customHeight="1" x14ac:dyDescent="0.25">
      <c r="A4" s="1" t="s">
        <v>149</v>
      </c>
      <c r="B4" s="1" t="s">
        <v>150</v>
      </c>
      <c r="C4" s="1" t="s">
        <v>68</v>
      </c>
      <c r="D4" s="1" t="s">
        <v>151</v>
      </c>
      <c r="E4" s="1" t="s">
        <v>152</v>
      </c>
      <c r="F4" s="1" t="s">
        <v>153</v>
      </c>
      <c r="G4" s="1" t="s">
        <v>154</v>
      </c>
      <c r="H4" s="1" t="s">
        <v>155</v>
      </c>
    </row>
    <row r="5" spans="1:10" ht="32.1" customHeight="1" x14ac:dyDescent="0.25">
      <c r="A5" s="7" t="s">
        <v>173</v>
      </c>
      <c r="B5" s="7" t="s">
        <v>174</v>
      </c>
      <c r="C5" s="7" t="s">
        <v>72</v>
      </c>
      <c r="D5" s="7" t="s">
        <v>158</v>
      </c>
      <c r="E5" s="7" t="s">
        <v>175</v>
      </c>
      <c r="F5" s="10">
        <v>3</v>
      </c>
      <c r="G5" s="7" t="s">
        <v>176</v>
      </c>
      <c r="H5" s="7"/>
    </row>
    <row r="6" spans="1:10" ht="42" customHeight="1" x14ac:dyDescent="0.25">
      <c r="A6" s="7" t="s">
        <v>177</v>
      </c>
      <c r="B6" s="7" t="s">
        <v>178</v>
      </c>
      <c r="C6" s="7" t="s">
        <v>75</v>
      </c>
      <c r="D6" s="7" t="s">
        <v>158</v>
      </c>
      <c r="E6" s="7" t="s">
        <v>179</v>
      </c>
      <c r="F6" s="10">
        <v>4</v>
      </c>
      <c r="G6" s="7" t="s">
        <v>180</v>
      </c>
      <c r="H6" s="7"/>
    </row>
    <row r="7" spans="1:10" ht="32.1" customHeight="1" x14ac:dyDescent="0.25">
      <c r="A7" s="7" t="s">
        <v>181</v>
      </c>
      <c r="B7" s="7" t="s">
        <v>182</v>
      </c>
      <c r="C7" s="7" t="s">
        <v>72</v>
      </c>
      <c r="D7" s="7" t="s">
        <v>158</v>
      </c>
      <c r="E7" s="7" t="s">
        <v>179</v>
      </c>
      <c r="F7" s="10">
        <v>3</v>
      </c>
      <c r="G7" s="7" t="s">
        <v>183</v>
      </c>
      <c r="H7" s="7"/>
    </row>
    <row r="8" spans="1:10" ht="32.1" customHeight="1" x14ac:dyDescent="0.25">
      <c r="A8" s="7" t="s">
        <v>184</v>
      </c>
      <c r="B8" s="7" t="s">
        <v>185</v>
      </c>
      <c r="C8" s="7" t="s">
        <v>75</v>
      </c>
      <c r="D8" s="7" t="s">
        <v>163</v>
      </c>
      <c r="E8" s="7" t="s">
        <v>186</v>
      </c>
      <c r="F8" s="10">
        <v>4</v>
      </c>
      <c r="G8" s="7" t="s">
        <v>187</v>
      </c>
      <c r="H8" s="7"/>
    </row>
  </sheetData>
  <mergeCells count="2">
    <mergeCell ref="A2:H2"/>
    <mergeCell ref="A1:H1"/>
  </mergeCells>
  <conditionalFormatting sqref="C5:C100">
    <cfRule type="expression" dxfId="143" priority="1">
      <formula>C5="Pendiente"</formula>
    </cfRule>
    <cfRule type="expression" dxfId="142" priority="2">
      <formula>C5="En curso"</formula>
    </cfRule>
    <cfRule type="expression" dxfId="141" priority="3">
      <formula>C5="Bloqueado"</formula>
    </cfRule>
    <cfRule type="expression" dxfId="140" priority="4">
      <formula>C5="Por validar"</formula>
    </cfRule>
    <cfRule type="expression" dxfId="139" priority="5">
      <formula>C5="Resuelto"</formula>
    </cfRule>
    <cfRule type="expression" dxfId="138" priority="6">
      <formula>C5="Descartado"</formula>
    </cfRule>
  </conditionalFormatting>
  <dataValidations count="1">
    <dataValidation type="list" allowBlank="1" errorTitle="Estado no válido" error="Selecciona un estado de la lista." promptTitle="Estado" prompt="Selecciona el estado actual de la incidencia." sqref="C5:C100" xr:uid="{00000000-0002-0000-0300-000000000000}">
      <formula1>"Pendiente,En curso,Bloqueado,Por validar,Resuelto,Descartado"</formula1>
    </dataValidation>
  </dataValidations>
  <hyperlinks>
    <hyperlink ref="J1" location="'Indice'!A1" display="↩ Índice" xr:uid="{00000000-0004-0000-0300-000000000000}"/>
  </hyperlink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4E78"/>
  </sheetPr>
  <dimension ref="A1:J21"/>
  <sheetViews>
    <sheetView showGridLines="0" workbookViewId="0">
      <pane ySplit="4" topLeftCell="A5" activePane="bottomLeft" state="frozen"/>
      <selection pane="bottomLeft" activeCell="D21" sqref="D21"/>
    </sheetView>
  </sheetViews>
  <sheetFormatPr baseColWidth="10" defaultColWidth="9.140625" defaultRowHeight="15" x14ac:dyDescent="0.25"/>
  <cols>
    <col min="1" max="1" width="18" customWidth="1"/>
    <col min="2" max="2" width="55" customWidth="1"/>
    <col min="3" max="3" width="18" customWidth="1"/>
    <col min="4" max="4" width="14" customWidth="1"/>
    <col min="5" max="5" width="20" customWidth="1"/>
    <col min="6" max="6" width="16" customWidth="1"/>
    <col min="7" max="7" width="72" customWidth="1"/>
    <col min="8" max="8" width="16" customWidth="1"/>
    <col min="10" max="10" width="12" customWidth="1"/>
  </cols>
  <sheetData>
    <row r="1" spans="1:10" ht="32.1" customHeight="1" x14ac:dyDescent="0.25">
      <c r="A1" s="39" t="s">
        <v>15</v>
      </c>
      <c r="B1" s="38"/>
      <c r="C1" s="38"/>
      <c r="D1" s="38"/>
      <c r="E1" s="38"/>
      <c r="F1" s="38"/>
      <c r="G1" s="38"/>
      <c r="H1" s="38"/>
      <c r="J1" s="9" t="s">
        <v>96</v>
      </c>
    </row>
    <row r="2" spans="1:10" ht="27.95" customHeight="1" x14ac:dyDescent="0.25">
      <c r="A2" s="37" t="s">
        <v>172</v>
      </c>
      <c r="B2" s="38"/>
      <c r="C2" s="38"/>
      <c r="D2" s="38"/>
      <c r="E2" s="38"/>
      <c r="F2" s="38"/>
      <c r="G2" s="38"/>
      <c r="H2" s="38"/>
    </row>
    <row r="4" spans="1:10" ht="30" customHeight="1" x14ac:dyDescent="0.25">
      <c r="A4" s="1" t="s">
        <v>149</v>
      </c>
      <c r="B4" s="1" t="s">
        <v>150</v>
      </c>
      <c r="C4" s="1" t="s">
        <v>68</v>
      </c>
      <c r="D4" s="1" t="s">
        <v>151</v>
      </c>
      <c r="E4" s="1" t="s">
        <v>152</v>
      </c>
      <c r="F4" s="1" t="s">
        <v>153</v>
      </c>
      <c r="G4" s="1" t="s">
        <v>154</v>
      </c>
      <c r="H4" s="1" t="s">
        <v>155</v>
      </c>
    </row>
    <row r="5" spans="1:10" ht="32.1" customHeight="1" x14ac:dyDescent="0.25">
      <c r="A5" s="7" t="s">
        <v>188</v>
      </c>
      <c r="B5" s="7" t="s">
        <v>189</v>
      </c>
      <c r="C5" s="7" t="s">
        <v>72</v>
      </c>
      <c r="D5" s="7" t="s">
        <v>158</v>
      </c>
      <c r="E5" s="7" t="s">
        <v>179</v>
      </c>
      <c r="F5" s="10">
        <v>3</v>
      </c>
      <c r="G5" s="7" t="s">
        <v>190</v>
      </c>
      <c r="H5" s="7"/>
    </row>
    <row r="6" spans="1:10" ht="32.1" customHeight="1" x14ac:dyDescent="0.25">
      <c r="A6" s="7" t="s">
        <v>191</v>
      </c>
      <c r="B6" s="7" t="s">
        <v>192</v>
      </c>
      <c r="C6" s="7" t="s">
        <v>72</v>
      </c>
      <c r="D6" s="7" t="s">
        <v>158</v>
      </c>
      <c r="E6" s="7" t="s">
        <v>175</v>
      </c>
      <c r="F6" s="10">
        <v>4</v>
      </c>
      <c r="G6" s="7" t="s">
        <v>193</v>
      </c>
      <c r="H6" s="7"/>
    </row>
    <row r="7" spans="1:10" ht="42" customHeight="1" x14ac:dyDescent="0.25">
      <c r="A7" s="7" t="s">
        <v>194</v>
      </c>
      <c r="B7" s="7" t="s">
        <v>195</v>
      </c>
      <c r="C7" s="7" t="s">
        <v>75</v>
      </c>
      <c r="D7" s="7" t="s">
        <v>158</v>
      </c>
      <c r="E7" s="7" t="s">
        <v>159</v>
      </c>
      <c r="F7" s="10">
        <v>5</v>
      </c>
      <c r="G7" s="7" t="s">
        <v>196</v>
      </c>
      <c r="H7" s="7"/>
    </row>
    <row r="8" spans="1:10" ht="32.1" customHeight="1" x14ac:dyDescent="0.25">
      <c r="A8" s="7" t="s">
        <v>197</v>
      </c>
      <c r="B8" s="7" t="s">
        <v>198</v>
      </c>
      <c r="C8" s="7" t="s">
        <v>72</v>
      </c>
      <c r="D8" s="7" t="s">
        <v>158</v>
      </c>
      <c r="E8" s="7" t="s">
        <v>175</v>
      </c>
      <c r="F8" s="10">
        <v>1</v>
      </c>
      <c r="G8" s="7" t="s">
        <v>199</v>
      </c>
      <c r="H8" s="7"/>
    </row>
    <row r="9" spans="1:10" ht="89.25" customHeight="1" x14ac:dyDescent="0.25">
      <c r="A9" s="56" t="s">
        <v>588</v>
      </c>
      <c r="B9" s="56" t="s">
        <v>589</v>
      </c>
      <c r="C9" s="7" t="s">
        <v>72</v>
      </c>
      <c r="D9" s="7" t="s">
        <v>590</v>
      </c>
      <c r="E9" s="7" t="s">
        <v>159</v>
      </c>
      <c r="F9" s="57"/>
      <c r="G9" s="56"/>
      <c r="H9" s="56"/>
    </row>
    <row r="21" spans="4:4" x14ac:dyDescent="0.25">
      <c r="D21" s="58"/>
    </row>
  </sheetData>
  <mergeCells count="2">
    <mergeCell ref="A2:H2"/>
    <mergeCell ref="A1:H1"/>
  </mergeCells>
  <conditionalFormatting sqref="C5:C101">
    <cfRule type="expression" dxfId="137" priority="1">
      <formula>C5="Pendiente"</formula>
    </cfRule>
    <cfRule type="expression" dxfId="136" priority="2">
      <formula>C5="En curso"</formula>
    </cfRule>
    <cfRule type="expression" dxfId="135" priority="3">
      <formula>C5="Bloqueado"</formula>
    </cfRule>
    <cfRule type="expression" dxfId="134" priority="4">
      <formula>C5="Por validar"</formula>
    </cfRule>
    <cfRule type="expression" dxfId="133" priority="5">
      <formula>C5="Resuelto"</formula>
    </cfRule>
    <cfRule type="expression" dxfId="132" priority="6">
      <formula>C5="Descartado"</formula>
    </cfRule>
  </conditionalFormatting>
  <dataValidations count="1">
    <dataValidation type="list" allowBlank="1" errorTitle="Estado no válido" error="Selecciona un estado de la lista." promptTitle="Estado" prompt="Selecciona el estado actual de la incidencia." sqref="C5:C101" xr:uid="{00000000-0002-0000-0400-000000000000}">
      <formula1>"Pendiente,En curso,Bloqueado,Por validar,Resuelto,Descartado"</formula1>
    </dataValidation>
  </dataValidations>
  <hyperlinks>
    <hyperlink ref="J1" location="'Indice'!A1" display="↩ Índice" xr:uid="{00000000-0004-0000-0400-000000000000}"/>
  </hyperlink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4E78"/>
  </sheetPr>
  <dimension ref="A1:J7"/>
  <sheetViews>
    <sheetView showGridLines="0" workbookViewId="0">
      <pane ySplit="4" topLeftCell="A5" activePane="bottomLeft" state="frozen"/>
      <selection pane="bottomLeft" activeCell="G5" sqref="G5"/>
    </sheetView>
  </sheetViews>
  <sheetFormatPr baseColWidth="10" defaultColWidth="9.140625" defaultRowHeight="15" x14ac:dyDescent="0.25"/>
  <cols>
    <col min="1" max="1" width="18" customWidth="1"/>
    <col min="2" max="2" width="55" customWidth="1"/>
    <col min="3" max="3" width="18" customWidth="1"/>
    <col min="4" max="4" width="14" customWidth="1"/>
    <col min="5" max="5" width="20" customWidth="1"/>
    <col min="6" max="6" width="16" customWidth="1"/>
    <col min="7" max="7" width="72" customWidth="1"/>
    <col min="8" max="8" width="16" customWidth="1"/>
    <col min="10" max="10" width="12" customWidth="1"/>
  </cols>
  <sheetData>
    <row r="1" spans="1:10" ht="32.1" customHeight="1" x14ac:dyDescent="0.25">
      <c r="A1" s="39" t="s">
        <v>17</v>
      </c>
      <c r="B1" s="38"/>
      <c r="C1" s="38"/>
      <c r="D1" s="38"/>
      <c r="E1" s="38"/>
      <c r="F1" s="38"/>
      <c r="G1" s="38"/>
      <c r="H1" s="38"/>
      <c r="J1" s="9" t="s">
        <v>96</v>
      </c>
    </row>
    <row r="2" spans="1:10" ht="27.95" customHeight="1" x14ac:dyDescent="0.25">
      <c r="A2" s="37" t="s">
        <v>172</v>
      </c>
      <c r="B2" s="38"/>
      <c r="C2" s="38"/>
      <c r="D2" s="38"/>
      <c r="E2" s="38"/>
      <c r="F2" s="38"/>
      <c r="G2" s="38"/>
      <c r="H2" s="38"/>
    </row>
    <row r="4" spans="1:10" ht="30" customHeight="1" x14ac:dyDescent="0.25">
      <c r="A4" s="1" t="s">
        <v>149</v>
      </c>
      <c r="B4" s="1" t="s">
        <v>150</v>
      </c>
      <c r="C4" s="1" t="s">
        <v>68</v>
      </c>
      <c r="D4" s="1" t="s">
        <v>151</v>
      </c>
      <c r="E4" s="1" t="s">
        <v>152</v>
      </c>
      <c r="F4" s="1" t="s">
        <v>153</v>
      </c>
      <c r="G4" s="1" t="s">
        <v>154</v>
      </c>
      <c r="H4" s="1" t="s">
        <v>155</v>
      </c>
    </row>
    <row r="5" spans="1:10" ht="32.1" customHeight="1" x14ac:dyDescent="0.25">
      <c r="A5" s="7" t="s">
        <v>200</v>
      </c>
      <c r="B5" s="62" t="s">
        <v>201</v>
      </c>
      <c r="C5" s="7" t="s">
        <v>75</v>
      </c>
      <c r="D5" s="7" t="s">
        <v>158</v>
      </c>
      <c r="E5" s="7" t="s">
        <v>159</v>
      </c>
      <c r="F5" s="10">
        <v>5</v>
      </c>
      <c r="G5" s="62" t="s">
        <v>202</v>
      </c>
      <c r="H5" s="7"/>
    </row>
    <row r="6" spans="1:10" ht="42" customHeight="1" x14ac:dyDescent="0.25">
      <c r="A6" s="7" t="s">
        <v>203</v>
      </c>
      <c r="B6" s="7" t="s">
        <v>204</v>
      </c>
      <c r="C6" s="7" t="s">
        <v>72</v>
      </c>
      <c r="D6" s="7" t="s">
        <v>163</v>
      </c>
      <c r="E6" s="7" t="s">
        <v>159</v>
      </c>
      <c r="F6" s="10">
        <v>6</v>
      </c>
      <c r="G6" s="62" t="s">
        <v>597</v>
      </c>
      <c r="H6" s="7"/>
    </row>
    <row r="7" spans="1:10" ht="32.1" customHeight="1" x14ac:dyDescent="0.25">
      <c r="A7" s="7" t="s">
        <v>205</v>
      </c>
      <c r="B7" s="7" t="s">
        <v>206</v>
      </c>
      <c r="C7" s="7" t="s">
        <v>75</v>
      </c>
      <c r="D7" s="7" t="s">
        <v>163</v>
      </c>
      <c r="E7" s="7" t="s">
        <v>159</v>
      </c>
      <c r="F7" s="10">
        <v>2</v>
      </c>
      <c r="G7" s="7" t="s">
        <v>207</v>
      </c>
      <c r="H7" s="7"/>
    </row>
  </sheetData>
  <mergeCells count="2">
    <mergeCell ref="A2:H2"/>
    <mergeCell ref="A1:H1"/>
  </mergeCells>
  <conditionalFormatting sqref="C5:C100">
    <cfRule type="expression" dxfId="131" priority="1">
      <formula>C5="Pendiente"</formula>
    </cfRule>
    <cfRule type="expression" dxfId="130" priority="2">
      <formula>C5="En curso"</formula>
    </cfRule>
    <cfRule type="expression" dxfId="129" priority="3">
      <formula>C5="Bloqueado"</formula>
    </cfRule>
    <cfRule type="expression" dxfId="128" priority="4">
      <formula>C5="Por validar"</formula>
    </cfRule>
    <cfRule type="expression" dxfId="127" priority="5">
      <formula>C5="Resuelto"</formula>
    </cfRule>
    <cfRule type="expression" dxfId="126" priority="6">
      <formula>C5="Descartado"</formula>
    </cfRule>
  </conditionalFormatting>
  <dataValidations count="1">
    <dataValidation type="list" allowBlank="1" errorTitle="Estado no válido" error="Selecciona un estado de la lista." promptTitle="Estado" prompt="Selecciona el estado actual de la incidencia." sqref="C5:C100" xr:uid="{00000000-0002-0000-0500-000000000000}">
      <formula1>"Pendiente,En curso,Bloqueado,Por validar,Resuelto,Descartado"</formula1>
    </dataValidation>
  </dataValidations>
  <hyperlinks>
    <hyperlink ref="J1" location="'Indice'!A1" display="↩ Índice" xr:uid="{00000000-0004-0000-0500-000000000000}"/>
  </hyperlink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4E78"/>
  </sheetPr>
  <dimension ref="A1:J6"/>
  <sheetViews>
    <sheetView showGridLines="0" workbookViewId="0">
      <pane ySplit="4" topLeftCell="A5" activePane="bottomLeft" state="frozen"/>
      <selection pane="bottomLeft" sqref="A1:H1"/>
    </sheetView>
  </sheetViews>
  <sheetFormatPr baseColWidth="10" defaultColWidth="9.140625" defaultRowHeight="15" x14ac:dyDescent="0.25"/>
  <cols>
    <col min="1" max="1" width="18" customWidth="1"/>
    <col min="2" max="2" width="55" customWidth="1"/>
    <col min="3" max="3" width="18" customWidth="1"/>
    <col min="4" max="4" width="14" customWidth="1"/>
    <col min="5" max="5" width="20" customWidth="1"/>
    <col min="6" max="6" width="16" customWidth="1"/>
    <col min="7" max="7" width="72" customWidth="1"/>
    <col min="8" max="8" width="16" customWidth="1"/>
    <col min="10" max="10" width="12" customWidth="1"/>
  </cols>
  <sheetData>
    <row r="1" spans="1:10" ht="32.1" customHeight="1" x14ac:dyDescent="0.25">
      <c r="A1" s="39" t="s">
        <v>19</v>
      </c>
      <c r="B1" s="38"/>
      <c r="C1" s="38"/>
      <c r="D1" s="38"/>
      <c r="E1" s="38"/>
      <c r="F1" s="38"/>
      <c r="G1" s="38"/>
      <c r="H1" s="38"/>
      <c r="J1" s="9" t="s">
        <v>96</v>
      </c>
    </row>
    <row r="2" spans="1:10" ht="27.95" customHeight="1" x14ac:dyDescent="0.25">
      <c r="A2" s="37" t="s">
        <v>172</v>
      </c>
      <c r="B2" s="38"/>
      <c r="C2" s="38"/>
      <c r="D2" s="38"/>
      <c r="E2" s="38"/>
      <c r="F2" s="38"/>
      <c r="G2" s="38"/>
      <c r="H2" s="38"/>
    </row>
    <row r="4" spans="1:10" ht="30" customHeight="1" x14ac:dyDescent="0.25">
      <c r="A4" s="1" t="s">
        <v>149</v>
      </c>
      <c r="B4" s="1" t="s">
        <v>150</v>
      </c>
      <c r="C4" s="1" t="s">
        <v>68</v>
      </c>
      <c r="D4" s="1" t="s">
        <v>151</v>
      </c>
      <c r="E4" s="1" t="s">
        <v>152</v>
      </c>
      <c r="F4" s="1" t="s">
        <v>153</v>
      </c>
      <c r="G4" s="1" t="s">
        <v>154</v>
      </c>
      <c r="H4" s="1" t="s">
        <v>155</v>
      </c>
    </row>
    <row r="5" spans="1:10" ht="32.1" customHeight="1" x14ac:dyDescent="0.25">
      <c r="A5" s="7" t="s">
        <v>208</v>
      </c>
      <c r="B5" s="7" t="s">
        <v>209</v>
      </c>
      <c r="C5" s="7" t="s">
        <v>75</v>
      </c>
      <c r="D5" s="7" t="s">
        <v>163</v>
      </c>
      <c r="E5" s="7" t="s">
        <v>170</v>
      </c>
      <c r="F5" s="10">
        <v>3</v>
      </c>
      <c r="G5" s="7" t="s">
        <v>210</v>
      </c>
      <c r="H5" s="7"/>
    </row>
    <row r="6" spans="1:10" ht="32.1" customHeight="1" x14ac:dyDescent="0.25">
      <c r="A6" s="7" t="s">
        <v>211</v>
      </c>
      <c r="B6" s="7" t="s">
        <v>212</v>
      </c>
      <c r="C6" s="7" t="s">
        <v>72</v>
      </c>
      <c r="D6" s="7" t="s">
        <v>163</v>
      </c>
      <c r="E6" s="7" t="s">
        <v>213</v>
      </c>
      <c r="F6" s="10">
        <v>5</v>
      </c>
      <c r="G6" s="7" t="s">
        <v>214</v>
      </c>
      <c r="H6" s="7"/>
    </row>
  </sheetData>
  <mergeCells count="2">
    <mergeCell ref="A2:H2"/>
    <mergeCell ref="A1:H1"/>
  </mergeCells>
  <conditionalFormatting sqref="C5:C100">
    <cfRule type="expression" dxfId="125" priority="1">
      <formula>C5="Pendiente"</formula>
    </cfRule>
    <cfRule type="expression" dxfId="124" priority="2">
      <formula>C5="En curso"</formula>
    </cfRule>
    <cfRule type="expression" dxfId="123" priority="3">
      <formula>C5="Bloqueado"</formula>
    </cfRule>
    <cfRule type="expression" dxfId="122" priority="4">
      <formula>C5="Por validar"</formula>
    </cfRule>
    <cfRule type="expression" dxfId="121" priority="5">
      <formula>C5="Resuelto"</formula>
    </cfRule>
    <cfRule type="expression" dxfId="120" priority="6">
      <formula>C5="Descartado"</formula>
    </cfRule>
  </conditionalFormatting>
  <dataValidations count="1">
    <dataValidation type="list" allowBlank="1" errorTitle="Estado no válido" error="Selecciona un estado de la lista." promptTitle="Estado" prompt="Selecciona el estado actual de la incidencia." sqref="C5:C100" xr:uid="{00000000-0002-0000-0600-000000000000}">
      <formula1>"Pendiente,En curso,Bloqueado,Por validar,Resuelto,Descartado"</formula1>
    </dataValidation>
  </dataValidations>
  <hyperlinks>
    <hyperlink ref="J1" location="'Indice'!A1" display="↩ Índice" xr:uid="{00000000-0004-0000-0600-000000000000}"/>
  </hyperlink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F4E78"/>
  </sheetPr>
  <dimension ref="A1:J6"/>
  <sheetViews>
    <sheetView showGridLines="0" workbookViewId="0">
      <pane ySplit="4" topLeftCell="A5" activePane="bottomLeft" state="frozen"/>
      <selection pane="bottomLeft" sqref="A1:H1"/>
    </sheetView>
  </sheetViews>
  <sheetFormatPr baseColWidth="10" defaultColWidth="9.140625" defaultRowHeight="15" x14ac:dyDescent="0.25"/>
  <cols>
    <col min="1" max="1" width="18" customWidth="1"/>
    <col min="2" max="2" width="55" customWidth="1"/>
    <col min="3" max="3" width="18" customWidth="1"/>
    <col min="4" max="4" width="14" customWidth="1"/>
    <col min="5" max="5" width="20" customWidth="1"/>
    <col min="6" max="6" width="16" customWidth="1"/>
    <col min="7" max="7" width="72" customWidth="1"/>
    <col min="8" max="8" width="16" customWidth="1"/>
    <col min="10" max="10" width="12" customWidth="1"/>
  </cols>
  <sheetData>
    <row r="1" spans="1:10" ht="32.1" customHeight="1" x14ac:dyDescent="0.25">
      <c r="A1" s="39" t="s">
        <v>21</v>
      </c>
      <c r="B1" s="38"/>
      <c r="C1" s="38"/>
      <c r="D1" s="38"/>
      <c r="E1" s="38"/>
      <c r="F1" s="38"/>
      <c r="G1" s="38"/>
      <c r="H1" s="38"/>
      <c r="J1" s="9" t="s">
        <v>96</v>
      </c>
    </row>
    <row r="2" spans="1:10" ht="27.95" customHeight="1" x14ac:dyDescent="0.25">
      <c r="A2" s="37" t="s">
        <v>172</v>
      </c>
      <c r="B2" s="38"/>
      <c r="C2" s="38"/>
      <c r="D2" s="38"/>
      <c r="E2" s="38"/>
      <c r="F2" s="38"/>
      <c r="G2" s="38"/>
      <c r="H2" s="38"/>
    </row>
    <row r="4" spans="1:10" ht="30" customHeight="1" x14ac:dyDescent="0.25">
      <c r="A4" s="1" t="s">
        <v>149</v>
      </c>
      <c r="B4" s="1" t="s">
        <v>150</v>
      </c>
      <c r="C4" s="1" t="s">
        <v>68</v>
      </c>
      <c r="D4" s="1" t="s">
        <v>151</v>
      </c>
      <c r="E4" s="1" t="s">
        <v>152</v>
      </c>
      <c r="F4" s="1" t="s">
        <v>153</v>
      </c>
      <c r="G4" s="1" t="s">
        <v>154</v>
      </c>
      <c r="H4" s="1" t="s">
        <v>155</v>
      </c>
    </row>
    <row r="5" spans="1:10" ht="32.1" customHeight="1" x14ac:dyDescent="0.25">
      <c r="A5" s="7" t="s">
        <v>215</v>
      </c>
      <c r="B5" s="7" t="s">
        <v>216</v>
      </c>
      <c r="C5" s="7" t="s">
        <v>75</v>
      </c>
      <c r="D5" s="7" t="s">
        <v>158</v>
      </c>
      <c r="E5" s="7" t="s">
        <v>159</v>
      </c>
      <c r="F5" s="10">
        <v>4</v>
      </c>
      <c r="G5" s="7" t="s">
        <v>217</v>
      </c>
      <c r="H5" s="7"/>
    </row>
    <row r="6" spans="1:10" ht="32.1" customHeight="1" x14ac:dyDescent="0.25">
      <c r="A6" s="7" t="s">
        <v>218</v>
      </c>
      <c r="B6" s="7" t="s">
        <v>219</v>
      </c>
      <c r="C6" s="7" t="s">
        <v>72</v>
      </c>
      <c r="D6" s="7" t="s">
        <v>163</v>
      </c>
      <c r="E6" s="7" t="s">
        <v>213</v>
      </c>
      <c r="F6" s="10">
        <v>4</v>
      </c>
      <c r="G6" s="7" t="s">
        <v>214</v>
      </c>
      <c r="H6" s="7"/>
    </row>
  </sheetData>
  <mergeCells count="2">
    <mergeCell ref="A2:H2"/>
    <mergeCell ref="A1:H1"/>
  </mergeCells>
  <conditionalFormatting sqref="C5:C100">
    <cfRule type="expression" dxfId="119" priority="1">
      <formula>C5="Pendiente"</formula>
    </cfRule>
    <cfRule type="expression" dxfId="118" priority="2">
      <formula>C5="En curso"</formula>
    </cfRule>
    <cfRule type="expression" dxfId="117" priority="3">
      <formula>C5="Bloqueado"</formula>
    </cfRule>
    <cfRule type="expression" dxfId="116" priority="4">
      <formula>C5="Por validar"</formula>
    </cfRule>
    <cfRule type="expression" dxfId="115" priority="5">
      <formula>C5="Resuelto"</formula>
    </cfRule>
    <cfRule type="expression" dxfId="114" priority="6">
      <formula>C5="Descartado"</formula>
    </cfRule>
  </conditionalFormatting>
  <dataValidations count="1">
    <dataValidation type="list" allowBlank="1" errorTitle="Estado no válido" error="Selecciona un estado de la lista." promptTitle="Estado" prompt="Selecciona el estado actual de la incidencia." sqref="C5:C100" xr:uid="{00000000-0002-0000-0700-000000000000}">
      <formula1>"Pendiente,En curso,Bloqueado,Por validar,Resuelto,Descartado"</formula1>
    </dataValidation>
  </dataValidations>
  <hyperlinks>
    <hyperlink ref="J1" location="'Indice'!A1" display="↩ Índice" xr:uid="{00000000-0004-0000-0700-000000000000}"/>
  </hyperlink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F4E78"/>
  </sheetPr>
  <dimension ref="A1:J8"/>
  <sheetViews>
    <sheetView showGridLines="0" workbookViewId="0">
      <pane ySplit="4" topLeftCell="A5" activePane="bottomLeft" state="frozen"/>
      <selection pane="bottomLeft" activeCell="K8" sqref="K8"/>
    </sheetView>
  </sheetViews>
  <sheetFormatPr baseColWidth="10" defaultColWidth="9.140625" defaultRowHeight="15" x14ac:dyDescent="0.25"/>
  <cols>
    <col min="1" max="1" width="18" customWidth="1"/>
    <col min="2" max="2" width="55" customWidth="1"/>
    <col min="3" max="3" width="18" customWidth="1"/>
    <col min="4" max="4" width="14" customWidth="1"/>
    <col min="5" max="5" width="20" customWidth="1"/>
    <col min="6" max="6" width="16" customWidth="1"/>
    <col min="7" max="7" width="72" customWidth="1"/>
    <col min="8" max="8" width="16" customWidth="1"/>
    <col min="10" max="10" width="12" customWidth="1"/>
  </cols>
  <sheetData>
    <row r="1" spans="1:10" ht="32.1" customHeight="1" x14ac:dyDescent="0.25">
      <c r="A1" s="39" t="s">
        <v>23</v>
      </c>
      <c r="B1" s="38"/>
      <c r="C1" s="38"/>
      <c r="D1" s="38"/>
      <c r="E1" s="38"/>
      <c r="F1" s="38"/>
      <c r="G1" s="38"/>
      <c r="H1" s="38"/>
      <c r="J1" s="9" t="s">
        <v>96</v>
      </c>
    </row>
    <row r="2" spans="1:10" ht="27.95" customHeight="1" x14ac:dyDescent="0.25">
      <c r="A2" s="37" t="s">
        <v>172</v>
      </c>
      <c r="B2" s="38"/>
      <c r="C2" s="38"/>
      <c r="D2" s="38"/>
      <c r="E2" s="38"/>
      <c r="F2" s="38"/>
      <c r="G2" s="38"/>
      <c r="H2" s="38"/>
    </row>
    <row r="4" spans="1:10" ht="30" customHeight="1" x14ac:dyDescent="0.25">
      <c r="A4" s="1" t="s">
        <v>149</v>
      </c>
      <c r="B4" s="1" t="s">
        <v>150</v>
      </c>
      <c r="C4" s="1" t="s">
        <v>68</v>
      </c>
      <c r="D4" s="1" t="s">
        <v>151</v>
      </c>
      <c r="E4" s="1" t="s">
        <v>152</v>
      </c>
      <c r="F4" s="1" t="s">
        <v>153</v>
      </c>
      <c r="G4" s="1" t="s">
        <v>154</v>
      </c>
      <c r="H4" s="1" t="s">
        <v>155</v>
      </c>
    </row>
    <row r="5" spans="1:10" ht="32.1" customHeight="1" x14ac:dyDescent="0.25">
      <c r="A5" s="7" t="s">
        <v>220</v>
      </c>
      <c r="B5" s="7" t="s">
        <v>221</v>
      </c>
      <c r="C5" s="7" t="s">
        <v>72</v>
      </c>
      <c r="D5" s="7" t="s">
        <v>158</v>
      </c>
      <c r="E5" s="7" t="s">
        <v>186</v>
      </c>
      <c r="F5" s="10">
        <v>60</v>
      </c>
      <c r="G5" s="7" t="s">
        <v>222</v>
      </c>
      <c r="H5" s="7"/>
    </row>
    <row r="6" spans="1:10" ht="32.1" customHeight="1" x14ac:dyDescent="0.25">
      <c r="A6" s="7" t="s">
        <v>223</v>
      </c>
      <c r="B6" s="7" t="s">
        <v>224</v>
      </c>
      <c r="C6" s="7" t="s">
        <v>72</v>
      </c>
      <c r="D6" s="7" t="s">
        <v>158</v>
      </c>
      <c r="E6" s="7" t="s">
        <v>159</v>
      </c>
      <c r="F6" s="10">
        <v>12</v>
      </c>
      <c r="G6" s="7" t="s">
        <v>225</v>
      </c>
      <c r="H6" s="7"/>
    </row>
    <row r="7" spans="1:10" ht="45" x14ac:dyDescent="0.25">
      <c r="A7" s="59" t="s">
        <v>591</v>
      </c>
      <c r="B7" s="60" t="s">
        <v>592</v>
      </c>
      <c r="C7" s="7" t="s">
        <v>72</v>
      </c>
      <c r="D7" s="7" t="s">
        <v>158</v>
      </c>
      <c r="E7" s="7" t="s">
        <v>159</v>
      </c>
    </row>
    <row r="8" spans="1:10" ht="375" x14ac:dyDescent="0.25">
      <c r="A8" s="59" t="s">
        <v>593</v>
      </c>
      <c r="B8" s="60" t="s">
        <v>594</v>
      </c>
      <c r="C8" s="7" t="s">
        <v>72</v>
      </c>
      <c r="D8" s="7" t="s">
        <v>158</v>
      </c>
      <c r="E8" s="7" t="s">
        <v>159</v>
      </c>
      <c r="G8" s="60" t="s">
        <v>595</v>
      </c>
    </row>
  </sheetData>
  <mergeCells count="2">
    <mergeCell ref="A2:H2"/>
    <mergeCell ref="A1:H1"/>
  </mergeCells>
  <conditionalFormatting sqref="C5:C100">
    <cfRule type="expression" dxfId="113" priority="1">
      <formula>C5="Pendiente"</formula>
    </cfRule>
    <cfRule type="expression" dxfId="112" priority="2">
      <formula>C5="En curso"</formula>
    </cfRule>
    <cfRule type="expression" dxfId="111" priority="3">
      <formula>C5="Bloqueado"</formula>
    </cfRule>
    <cfRule type="expression" dxfId="110" priority="4">
      <formula>C5="Por validar"</formula>
    </cfRule>
    <cfRule type="expression" dxfId="109" priority="5">
      <formula>C5="Resuelto"</formula>
    </cfRule>
    <cfRule type="expression" dxfId="108" priority="6">
      <formula>C5="Descartado"</formula>
    </cfRule>
  </conditionalFormatting>
  <dataValidations count="1">
    <dataValidation type="list" allowBlank="1" errorTitle="Estado no válido" error="Selecciona un estado de la lista." promptTitle="Estado" prompt="Selecciona el estado actual de la incidencia." sqref="C5:C100" xr:uid="{00000000-0002-0000-0800-000000000000}">
      <formula1>"Pendiente,En curso,Bloqueado,Por validar,Resuelto,Descartado"</formula1>
    </dataValidation>
  </dataValidations>
  <hyperlinks>
    <hyperlink ref="J1" location="'Indice'!A1" display="↩ Índice" xr:uid="{00000000-0004-0000-0800-000000000000}"/>
  </hyperlink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F4E78"/>
  </sheetPr>
  <dimension ref="A1:J8"/>
  <sheetViews>
    <sheetView showGridLines="0"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1" width="18" customWidth="1"/>
    <col min="2" max="2" width="55" customWidth="1"/>
    <col min="3" max="3" width="18" customWidth="1"/>
    <col min="4" max="4" width="14" customWidth="1"/>
    <col min="5" max="5" width="20" customWidth="1"/>
    <col min="6" max="6" width="16" customWidth="1"/>
    <col min="7" max="7" width="72" customWidth="1"/>
    <col min="8" max="8" width="16" customWidth="1"/>
    <col min="10" max="10" width="12" customWidth="1"/>
  </cols>
  <sheetData>
    <row r="1" spans="1:10" ht="32.1" customHeight="1" x14ac:dyDescent="0.25">
      <c r="A1" s="39" t="s">
        <v>25</v>
      </c>
      <c r="B1" s="38"/>
      <c r="C1" s="38"/>
      <c r="D1" s="38"/>
      <c r="E1" s="38"/>
      <c r="F1" s="38"/>
      <c r="G1" s="38"/>
      <c r="H1" s="38"/>
      <c r="J1" s="9" t="s">
        <v>96</v>
      </c>
    </row>
    <row r="2" spans="1:10" ht="27.95" customHeight="1" x14ac:dyDescent="0.25">
      <c r="A2" s="37" t="s">
        <v>172</v>
      </c>
      <c r="B2" s="38"/>
      <c r="C2" s="38"/>
      <c r="D2" s="38"/>
      <c r="E2" s="38"/>
      <c r="F2" s="38"/>
      <c r="G2" s="38"/>
      <c r="H2" s="38"/>
    </row>
    <row r="4" spans="1:10" ht="30" customHeight="1" x14ac:dyDescent="0.25">
      <c r="A4" s="1" t="s">
        <v>149</v>
      </c>
      <c r="B4" s="1" t="s">
        <v>150</v>
      </c>
      <c r="C4" s="1" t="s">
        <v>68</v>
      </c>
      <c r="D4" s="1" t="s">
        <v>151</v>
      </c>
      <c r="E4" s="1" t="s">
        <v>152</v>
      </c>
      <c r="F4" s="1" t="s">
        <v>153</v>
      </c>
      <c r="G4" s="1" t="s">
        <v>154</v>
      </c>
      <c r="H4" s="1" t="s">
        <v>155</v>
      </c>
    </row>
    <row r="5" spans="1:10" ht="32.1" customHeight="1" x14ac:dyDescent="0.25">
      <c r="A5" s="7" t="s">
        <v>226</v>
      </c>
      <c r="B5" s="7" t="s">
        <v>227</v>
      </c>
      <c r="C5" s="7" t="s">
        <v>75</v>
      </c>
      <c r="D5" s="7" t="s">
        <v>158</v>
      </c>
      <c r="E5" s="7" t="s">
        <v>228</v>
      </c>
      <c r="F5" s="10">
        <v>3</v>
      </c>
      <c r="G5" s="7" t="s">
        <v>229</v>
      </c>
      <c r="H5" s="7"/>
    </row>
    <row r="6" spans="1:10" ht="32.1" customHeight="1" x14ac:dyDescent="0.25">
      <c r="A6" s="7" t="s">
        <v>230</v>
      </c>
      <c r="B6" s="7" t="s">
        <v>231</v>
      </c>
      <c r="C6" s="7" t="s">
        <v>75</v>
      </c>
      <c r="D6" s="7" t="s">
        <v>158</v>
      </c>
      <c r="E6" s="7" t="s">
        <v>232</v>
      </c>
      <c r="F6" s="10">
        <v>4</v>
      </c>
      <c r="G6" s="7" t="s">
        <v>233</v>
      </c>
      <c r="H6" s="7"/>
    </row>
    <row r="7" spans="1:10" ht="42" customHeight="1" x14ac:dyDescent="0.25">
      <c r="A7" s="7" t="s">
        <v>234</v>
      </c>
      <c r="B7" s="7" t="s">
        <v>235</v>
      </c>
      <c r="C7" s="7" t="s">
        <v>75</v>
      </c>
      <c r="D7" s="7" t="s">
        <v>158</v>
      </c>
      <c r="E7" s="7" t="s">
        <v>232</v>
      </c>
      <c r="F7" s="10">
        <v>4</v>
      </c>
      <c r="G7" s="7" t="s">
        <v>236</v>
      </c>
      <c r="H7" s="7"/>
    </row>
    <row r="8" spans="1:10" ht="32.1" customHeight="1" x14ac:dyDescent="0.25">
      <c r="A8" s="7" t="s">
        <v>237</v>
      </c>
      <c r="B8" s="7" t="s">
        <v>238</v>
      </c>
      <c r="C8" s="7" t="s">
        <v>72</v>
      </c>
      <c r="D8" s="7" t="s">
        <v>158</v>
      </c>
      <c r="E8" s="7" t="s">
        <v>239</v>
      </c>
      <c r="F8" s="10">
        <v>2</v>
      </c>
      <c r="G8" s="7" t="s">
        <v>240</v>
      </c>
      <c r="H8" s="7"/>
    </row>
  </sheetData>
  <mergeCells count="2">
    <mergeCell ref="A2:H2"/>
    <mergeCell ref="A1:H1"/>
  </mergeCells>
  <conditionalFormatting sqref="C5:C100">
    <cfRule type="expression" dxfId="107" priority="1">
      <formula>C5="Pendiente"</formula>
    </cfRule>
    <cfRule type="expression" dxfId="106" priority="2">
      <formula>C5="En curso"</formula>
    </cfRule>
    <cfRule type="expression" dxfId="105" priority="3">
      <formula>C5="Bloqueado"</formula>
    </cfRule>
    <cfRule type="expression" dxfId="104" priority="4">
      <formula>C5="Por validar"</formula>
    </cfRule>
    <cfRule type="expression" dxfId="103" priority="5">
      <formula>C5="Resuelto"</formula>
    </cfRule>
    <cfRule type="expression" dxfId="102" priority="6">
      <formula>C5="Descartado"</formula>
    </cfRule>
  </conditionalFormatting>
  <dataValidations count="1">
    <dataValidation type="list" allowBlank="1" errorTitle="Estado no válido" error="Selecciona un estado de la lista." promptTitle="Estado" prompt="Selecciona el estado actual de la incidencia." sqref="C5:C100" xr:uid="{00000000-0002-0000-0900-000000000000}">
      <formula1>"Pendiente,En curso,Bloqueado,Por validar,Resuelto,Descartado"</formula1>
    </dataValidation>
  </dataValidations>
  <hyperlinks>
    <hyperlink ref="J1" location="'Indice'!A1" display="↩ Índice" xr:uid="{00000000-0004-0000-0900-000000000000}"/>
  </hyperlink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F4E78"/>
  </sheetPr>
  <dimension ref="A1:J6"/>
  <sheetViews>
    <sheetView showGridLines="0" workbookViewId="0">
      <pane ySplit="4" topLeftCell="A5" activePane="bottomLeft" state="frozen"/>
      <selection pane="bottomLeft" sqref="A1:H1"/>
    </sheetView>
  </sheetViews>
  <sheetFormatPr baseColWidth="10" defaultColWidth="9.140625" defaultRowHeight="15" x14ac:dyDescent="0.25"/>
  <cols>
    <col min="1" max="1" width="18" customWidth="1"/>
    <col min="2" max="2" width="55" customWidth="1"/>
    <col min="3" max="3" width="18" customWidth="1"/>
    <col min="4" max="4" width="14" customWidth="1"/>
    <col min="5" max="5" width="20" customWidth="1"/>
    <col min="6" max="6" width="16" customWidth="1"/>
    <col min="7" max="7" width="72" customWidth="1"/>
    <col min="8" max="8" width="16" customWidth="1"/>
    <col min="10" max="10" width="12" customWidth="1"/>
  </cols>
  <sheetData>
    <row r="1" spans="1:10" ht="32.1" customHeight="1" x14ac:dyDescent="0.25">
      <c r="A1" s="39" t="s">
        <v>27</v>
      </c>
      <c r="B1" s="38"/>
      <c r="C1" s="38"/>
      <c r="D1" s="38"/>
      <c r="E1" s="38"/>
      <c r="F1" s="38"/>
      <c r="G1" s="38"/>
      <c r="H1" s="38"/>
      <c r="J1" s="9" t="s">
        <v>96</v>
      </c>
    </row>
    <row r="2" spans="1:10" ht="27.95" customHeight="1" x14ac:dyDescent="0.25">
      <c r="A2" s="37" t="s">
        <v>172</v>
      </c>
      <c r="B2" s="38"/>
      <c r="C2" s="38"/>
      <c r="D2" s="38"/>
      <c r="E2" s="38"/>
      <c r="F2" s="38"/>
      <c r="G2" s="38"/>
      <c r="H2" s="38"/>
    </row>
    <row r="4" spans="1:10" ht="30" customHeight="1" x14ac:dyDescent="0.25">
      <c r="A4" s="1" t="s">
        <v>149</v>
      </c>
      <c r="B4" s="1" t="s">
        <v>150</v>
      </c>
      <c r="C4" s="1" t="s">
        <v>68</v>
      </c>
      <c r="D4" s="1" t="s">
        <v>151</v>
      </c>
      <c r="E4" s="1" t="s">
        <v>152</v>
      </c>
      <c r="F4" s="1" t="s">
        <v>153</v>
      </c>
      <c r="G4" s="1" t="s">
        <v>154</v>
      </c>
      <c r="H4" s="1" t="s">
        <v>155</v>
      </c>
    </row>
    <row r="5" spans="1:10" ht="32.1" customHeight="1" x14ac:dyDescent="0.25">
      <c r="A5" s="7" t="s">
        <v>241</v>
      </c>
      <c r="B5" s="7" t="s">
        <v>242</v>
      </c>
      <c r="C5" s="7" t="s">
        <v>75</v>
      </c>
      <c r="D5" s="7" t="s">
        <v>163</v>
      </c>
      <c r="E5" s="7" t="s">
        <v>213</v>
      </c>
      <c r="F5" s="10">
        <v>4</v>
      </c>
      <c r="G5" s="7" t="s">
        <v>243</v>
      </c>
      <c r="H5" s="7"/>
    </row>
    <row r="6" spans="1:10" ht="32.1" customHeight="1" x14ac:dyDescent="0.25">
      <c r="A6" s="7" t="s">
        <v>244</v>
      </c>
      <c r="B6" s="7" t="s">
        <v>245</v>
      </c>
      <c r="C6" s="7" t="s">
        <v>72</v>
      </c>
      <c r="D6" s="7" t="s">
        <v>163</v>
      </c>
      <c r="E6" s="7" t="s">
        <v>213</v>
      </c>
      <c r="F6" s="10">
        <v>5</v>
      </c>
      <c r="G6" s="7" t="s">
        <v>214</v>
      </c>
      <c r="H6" s="7"/>
    </row>
  </sheetData>
  <mergeCells count="2">
    <mergeCell ref="A2:H2"/>
    <mergeCell ref="A1:H1"/>
  </mergeCells>
  <conditionalFormatting sqref="C5:C100">
    <cfRule type="expression" dxfId="101" priority="1">
      <formula>C5="Pendiente"</formula>
    </cfRule>
    <cfRule type="expression" dxfId="100" priority="2">
      <formula>C5="En curso"</formula>
    </cfRule>
    <cfRule type="expression" dxfId="99" priority="3">
      <formula>C5="Bloqueado"</formula>
    </cfRule>
    <cfRule type="expression" dxfId="98" priority="4">
      <formula>C5="Por validar"</formula>
    </cfRule>
    <cfRule type="expression" dxfId="97" priority="5">
      <formula>C5="Resuelto"</formula>
    </cfRule>
    <cfRule type="expression" dxfId="96" priority="6">
      <formula>C5="Descartado"</formula>
    </cfRule>
  </conditionalFormatting>
  <dataValidations count="1">
    <dataValidation type="list" allowBlank="1" errorTitle="Estado no válido" error="Selecciona un estado de la lista." promptTitle="Estado" prompt="Selecciona el estado actual de la incidencia." sqref="C5:C100" xr:uid="{00000000-0002-0000-0A00-000000000000}">
      <formula1>"Pendiente,En curso,Bloqueado,Por validar,Resuelto,Descartado"</formula1>
    </dataValidation>
  </dataValidations>
  <hyperlinks>
    <hyperlink ref="J1" location="'Indice'!A1" display="↩ Índice" xr:uid="{00000000-0004-0000-0A00-000000000000}"/>
  </hyperlink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1F4E78"/>
  </sheetPr>
  <dimension ref="A1:J6"/>
  <sheetViews>
    <sheetView showGridLines="0" workbookViewId="0">
      <pane ySplit="4" topLeftCell="A5" activePane="bottomLeft" state="frozen"/>
      <selection pane="bottomLeft" activeCell="E26" sqref="E26"/>
    </sheetView>
  </sheetViews>
  <sheetFormatPr baseColWidth="10" defaultColWidth="9.140625" defaultRowHeight="15" x14ac:dyDescent="0.25"/>
  <cols>
    <col min="1" max="1" width="18" customWidth="1"/>
    <col min="2" max="2" width="55" customWidth="1"/>
    <col min="3" max="3" width="18" customWidth="1"/>
    <col min="4" max="4" width="14" customWidth="1"/>
    <col min="5" max="5" width="20" customWidth="1"/>
    <col min="6" max="6" width="16" customWidth="1"/>
    <col min="7" max="7" width="72" customWidth="1"/>
    <col min="8" max="8" width="16" customWidth="1"/>
    <col min="10" max="10" width="12" customWidth="1"/>
  </cols>
  <sheetData>
    <row r="1" spans="1:10" ht="32.1" customHeight="1" x14ac:dyDescent="0.25">
      <c r="A1" s="39" t="s">
        <v>29</v>
      </c>
      <c r="B1" s="38"/>
      <c r="C1" s="38"/>
      <c r="D1" s="38"/>
      <c r="E1" s="38"/>
      <c r="F1" s="38"/>
      <c r="G1" s="38"/>
      <c r="H1" s="38"/>
      <c r="J1" s="9" t="s">
        <v>96</v>
      </c>
    </row>
    <row r="2" spans="1:10" ht="27.95" customHeight="1" x14ac:dyDescent="0.25">
      <c r="A2" s="37" t="s">
        <v>172</v>
      </c>
      <c r="B2" s="38"/>
      <c r="C2" s="38"/>
      <c r="D2" s="38"/>
      <c r="E2" s="38"/>
      <c r="F2" s="38"/>
      <c r="G2" s="38"/>
      <c r="H2" s="38"/>
    </row>
    <row r="4" spans="1:10" ht="30" customHeight="1" x14ac:dyDescent="0.25">
      <c r="A4" s="1" t="s">
        <v>149</v>
      </c>
      <c r="B4" s="1" t="s">
        <v>150</v>
      </c>
      <c r="C4" s="1" t="s">
        <v>68</v>
      </c>
      <c r="D4" s="1" t="s">
        <v>151</v>
      </c>
      <c r="E4" s="1" t="s">
        <v>152</v>
      </c>
      <c r="F4" s="1" t="s">
        <v>153</v>
      </c>
      <c r="G4" s="1" t="s">
        <v>154</v>
      </c>
      <c r="H4" s="1" t="s">
        <v>155</v>
      </c>
    </row>
    <row r="5" spans="1:10" ht="32.1" customHeight="1" x14ac:dyDescent="0.25">
      <c r="A5" s="7" t="s">
        <v>246</v>
      </c>
      <c r="B5" s="7" t="s">
        <v>247</v>
      </c>
      <c r="C5" s="7" t="s">
        <v>75</v>
      </c>
      <c r="D5" s="7" t="s">
        <v>163</v>
      </c>
      <c r="E5" s="7" t="s">
        <v>170</v>
      </c>
      <c r="F5" s="10">
        <v>3</v>
      </c>
      <c r="G5" s="7" t="s">
        <v>248</v>
      </c>
      <c r="H5" s="7"/>
    </row>
    <row r="6" spans="1:10" ht="32.1" customHeight="1" x14ac:dyDescent="0.25">
      <c r="A6" s="7" t="s">
        <v>249</v>
      </c>
      <c r="B6" s="7" t="s">
        <v>250</v>
      </c>
      <c r="C6" s="7" t="s">
        <v>72</v>
      </c>
      <c r="D6" s="7" t="s">
        <v>163</v>
      </c>
      <c r="E6" s="7" t="s">
        <v>213</v>
      </c>
      <c r="F6" s="10">
        <v>4</v>
      </c>
      <c r="G6" s="7" t="s">
        <v>251</v>
      </c>
      <c r="H6" s="7"/>
    </row>
  </sheetData>
  <mergeCells count="2">
    <mergeCell ref="A2:H2"/>
    <mergeCell ref="A1:H1"/>
  </mergeCells>
  <conditionalFormatting sqref="C5:C100">
    <cfRule type="expression" dxfId="95" priority="1">
      <formula>C5="Pendiente"</formula>
    </cfRule>
    <cfRule type="expression" dxfId="94" priority="2">
      <formula>C5="En curso"</formula>
    </cfRule>
    <cfRule type="expression" dxfId="93" priority="3">
      <formula>C5="Bloqueado"</formula>
    </cfRule>
    <cfRule type="expression" dxfId="92" priority="4">
      <formula>C5="Por validar"</formula>
    </cfRule>
    <cfRule type="expression" dxfId="91" priority="5">
      <formula>C5="Resuelto"</formula>
    </cfRule>
    <cfRule type="expression" dxfId="90" priority="6">
      <formula>C5="Descartado"</formula>
    </cfRule>
  </conditionalFormatting>
  <dataValidations count="1">
    <dataValidation type="list" allowBlank="1" errorTitle="Estado no válido" error="Selecciona un estado de la lista." promptTitle="Estado" prompt="Selecciona el estado actual de la incidencia." sqref="C5:C100" xr:uid="{00000000-0002-0000-0B00-000000000000}">
      <formula1>"Pendiente,En curso,Bloqueado,Por validar,Resuelto,Descartado"</formula1>
    </dataValidation>
  </dataValidations>
  <hyperlinks>
    <hyperlink ref="J1" location="'Indice'!A1" display="↩ Índice" xr:uid="{00000000-0004-0000-0B00-000000000000}"/>
  </hyperlink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1F4E78"/>
  </sheetPr>
  <dimension ref="A1:J7"/>
  <sheetViews>
    <sheetView showGridLines="0"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1" width="18" customWidth="1"/>
    <col min="2" max="2" width="55" customWidth="1"/>
    <col min="3" max="3" width="18" customWidth="1"/>
    <col min="4" max="4" width="14" customWidth="1"/>
    <col min="5" max="5" width="20" customWidth="1"/>
    <col min="6" max="6" width="16" customWidth="1"/>
    <col min="7" max="7" width="72" customWidth="1"/>
    <col min="8" max="8" width="16" customWidth="1"/>
    <col min="10" max="10" width="12" customWidth="1"/>
  </cols>
  <sheetData>
    <row r="1" spans="1:10" ht="32.1" customHeight="1" x14ac:dyDescent="0.25">
      <c r="A1" s="39" t="s">
        <v>31</v>
      </c>
      <c r="B1" s="38"/>
      <c r="C1" s="38"/>
      <c r="D1" s="38"/>
      <c r="E1" s="38"/>
      <c r="F1" s="38"/>
      <c r="G1" s="38"/>
      <c r="H1" s="38"/>
      <c r="J1" s="9" t="s">
        <v>96</v>
      </c>
    </row>
    <row r="2" spans="1:10" ht="27.95" customHeight="1" x14ac:dyDescent="0.25">
      <c r="A2" s="37" t="s">
        <v>172</v>
      </c>
      <c r="B2" s="38"/>
      <c r="C2" s="38"/>
      <c r="D2" s="38"/>
      <c r="E2" s="38"/>
      <c r="F2" s="38"/>
      <c r="G2" s="38"/>
      <c r="H2" s="38"/>
    </row>
    <row r="4" spans="1:10" ht="30" customHeight="1" x14ac:dyDescent="0.25">
      <c r="A4" s="1" t="s">
        <v>149</v>
      </c>
      <c r="B4" s="1" t="s">
        <v>150</v>
      </c>
      <c r="C4" s="1" t="s">
        <v>68</v>
      </c>
      <c r="D4" s="1" t="s">
        <v>151</v>
      </c>
      <c r="E4" s="1" t="s">
        <v>152</v>
      </c>
      <c r="F4" s="1" t="s">
        <v>153</v>
      </c>
      <c r="G4" s="1" t="s">
        <v>154</v>
      </c>
      <c r="H4" s="1" t="s">
        <v>155</v>
      </c>
    </row>
    <row r="5" spans="1:10" ht="32.1" customHeight="1" x14ac:dyDescent="0.25">
      <c r="A5" s="7" t="s">
        <v>252</v>
      </c>
      <c r="B5" s="7" t="s">
        <v>253</v>
      </c>
      <c r="C5" s="7" t="s">
        <v>72</v>
      </c>
      <c r="D5" s="7" t="s">
        <v>158</v>
      </c>
      <c r="E5" s="7" t="s">
        <v>159</v>
      </c>
      <c r="F5" s="10">
        <v>5</v>
      </c>
      <c r="G5" s="7" t="s">
        <v>254</v>
      </c>
      <c r="H5" s="7"/>
    </row>
    <row r="6" spans="1:10" ht="32.1" customHeight="1" x14ac:dyDescent="0.25">
      <c r="A6" s="7" t="s">
        <v>255</v>
      </c>
      <c r="B6" s="7" t="s">
        <v>256</v>
      </c>
      <c r="C6" s="7" t="s">
        <v>72</v>
      </c>
      <c r="D6" s="7" t="s">
        <v>158</v>
      </c>
      <c r="E6" s="7" t="s">
        <v>213</v>
      </c>
      <c r="F6" s="10">
        <v>10</v>
      </c>
      <c r="G6" s="7" t="s">
        <v>257</v>
      </c>
      <c r="H6" s="7"/>
    </row>
    <row r="7" spans="1:10" ht="32.1" customHeight="1" x14ac:dyDescent="0.25">
      <c r="A7" s="7" t="s">
        <v>258</v>
      </c>
      <c r="B7" s="7" t="s">
        <v>259</v>
      </c>
      <c r="C7" s="7" t="s">
        <v>75</v>
      </c>
      <c r="D7" s="7" t="s">
        <v>163</v>
      </c>
      <c r="E7" s="7" t="s">
        <v>159</v>
      </c>
      <c r="F7" s="10">
        <v>3</v>
      </c>
      <c r="G7" s="7" t="s">
        <v>260</v>
      </c>
      <c r="H7" s="7"/>
    </row>
  </sheetData>
  <mergeCells count="2">
    <mergeCell ref="A2:H2"/>
    <mergeCell ref="A1:H1"/>
  </mergeCells>
  <conditionalFormatting sqref="C5:C100">
    <cfRule type="expression" dxfId="89" priority="1">
      <formula>C5="Pendiente"</formula>
    </cfRule>
    <cfRule type="expression" dxfId="88" priority="2">
      <formula>C5="En curso"</formula>
    </cfRule>
    <cfRule type="expression" dxfId="87" priority="3">
      <formula>C5="Bloqueado"</formula>
    </cfRule>
    <cfRule type="expression" dxfId="86" priority="4">
      <formula>C5="Por validar"</formula>
    </cfRule>
    <cfRule type="expression" dxfId="85" priority="5">
      <formula>C5="Resuelto"</formula>
    </cfRule>
    <cfRule type="expression" dxfId="84" priority="6">
      <formula>C5="Descartado"</formula>
    </cfRule>
  </conditionalFormatting>
  <dataValidations count="1">
    <dataValidation type="list" allowBlank="1" errorTitle="Estado no válido" error="Selecciona un estado de la lista." promptTitle="Estado" prompt="Selecciona el estado actual de la incidencia." sqref="C5:C100" xr:uid="{00000000-0002-0000-0C00-000000000000}">
      <formula1>"Pendiente,En curso,Bloqueado,Por validar,Resuelto,Descartado"</formula1>
    </dataValidation>
  </dataValidations>
  <hyperlinks>
    <hyperlink ref="J1" location="'Indice'!A1" display="↩ Índice" xr:uid="{00000000-0004-0000-0C00-000000000000}"/>
  </hyperlink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1F4E78"/>
  </sheetPr>
  <dimension ref="A1:J7"/>
  <sheetViews>
    <sheetView showGridLines="0"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1" width="18" customWidth="1"/>
    <col min="2" max="2" width="55" customWidth="1"/>
    <col min="3" max="3" width="18" customWidth="1"/>
    <col min="4" max="4" width="14" customWidth="1"/>
    <col min="5" max="5" width="20" customWidth="1"/>
    <col min="6" max="6" width="16" customWidth="1"/>
    <col min="7" max="7" width="72" customWidth="1"/>
    <col min="8" max="8" width="16" customWidth="1"/>
    <col min="10" max="10" width="12" customWidth="1"/>
  </cols>
  <sheetData>
    <row r="1" spans="1:10" ht="32.1" customHeight="1" x14ac:dyDescent="0.25">
      <c r="A1" s="39" t="s">
        <v>33</v>
      </c>
      <c r="B1" s="38"/>
      <c r="C1" s="38"/>
      <c r="D1" s="38"/>
      <c r="E1" s="38"/>
      <c r="F1" s="38"/>
      <c r="G1" s="38"/>
      <c r="H1" s="38"/>
      <c r="J1" s="9" t="s">
        <v>96</v>
      </c>
    </row>
    <row r="2" spans="1:10" ht="27.95" customHeight="1" x14ac:dyDescent="0.25">
      <c r="A2" s="37" t="s">
        <v>172</v>
      </c>
      <c r="B2" s="38"/>
      <c r="C2" s="38"/>
      <c r="D2" s="38"/>
      <c r="E2" s="38"/>
      <c r="F2" s="38"/>
      <c r="G2" s="38"/>
      <c r="H2" s="38"/>
    </row>
    <row r="4" spans="1:10" ht="30" customHeight="1" x14ac:dyDescent="0.25">
      <c r="A4" s="1" t="s">
        <v>149</v>
      </c>
      <c r="B4" s="1" t="s">
        <v>150</v>
      </c>
      <c r="C4" s="1" t="s">
        <v>68</v>
      </c>
      <c r="D4" s="1" t="s">
        <v>151</v>
      </c>
      <c r="E4" s="1" t="s">
        <v>152</v>
      </c>
      <c r="F4" s="1" t="s">
        <v>153</v>
      </c>
      <c r="G4" s="1" t="s">
        <v>154</v>
      </c>
      <c r="H4" s="1" t="s">
        <v>155</v>
      </c>
    </row>
    <row r="5" spans="1:10" ht="42" customHeight="1" x14ac:dyDescent="0.25">
      <c r="A5" s="7" t="s">
        <v>261</v>
      </c>
      <c r="B5" s="7" t="s">
        <v>262</v>
      </c>
      <c r="C5" s="7" t="s">
        <v>72</v>
      </c>
      <c r="D5" s="7" t="s">
        <v>158</v>
      </c>
      <c r="E5" s="7" t="s">
        <v>159</v>
      </c>
      <c r="F5" s="10">
        <v>4</v>
      </c>
      <c r="G5" s="7" t="s">
        <v>263</v>
      </c>
      <c r="H5" s="7"/>
    </row>
    <row r="6" spans="1:10" ht="32.1" customHeight="1" x14ac:dyDescent="0.25">
      <c r="A6" s="7" t="s">
        <v>264</v>
      </c>
      <c r="B6" s="7" t="s">
        <v>265</v>
      </c>
      <c r="C6" s="7" t="s">
        <v>75</v>
      </c>
      <c r="D6" s="7" t="s">
        <v>158</v>
      </c>
      <c r="E6" s="7" t="s">
        <v>266</v>
      </c>
      <c r="F6" s="10">
        <v>4</v>
      </c>
      <c r="G6" s="7" t="s">
        <v>267</v>
      </c>
      <c r="H6" s="7"/>
    </row>
    <row r="7" spans="1:10" ht="32.1" customHeight="1" x14ac:dyDescent="0.25">
      <c r="A7" s="7" t="s">
        <v>268</v>
      </c>
      <c r="B7" s="7" t="s">
        <v>269</v>
      </c>
      <c r="C7" s="7" t="s">
        <v>75</v>
      </c>
      <c r="D7" s="7" t="s">
        <v>163</v>
      </c>
      <c r="E7" s="7" t="s">
        <v>270</v>
      </c>
      <c r="F7" s="10">
        <v>3</v>
      </c>
      <c r="G7" s="7" t="s">
        <v>271</v>
      </c>
      <c r="H7" s="7"/>
    </row>
  </sheetData>
  <mergeCells count="2">
    <mergeCell ref="A2:H2"/>
    <mergeCell ref="A1:H1"/>
  </mergeCells>
  <conditionalFormatting sqref="C5:C100">
    <cfRule type="expression" dxfId="83" priority="1">
      <formula>C5="Pendiente"</formula>
    </cfRule>
    <cfRule type="expression" dxfId="82" priority="2">
      <formula>C5="En curso"</formula>
    </cfRule>
    <cfRule type="expression" dxfId="81" priority="3">
      <formula>C5="Bloqueado"</formula>
    </cfRule>
    <cfRule type="expression" dxfId="80" priority="4">
      <formula>C5="Por validar"</formula>
    </cfRule>
    <cfRule type="expression" dxfId="79" priority="5">
      <formula>C5="Resuelto"</formula>
    </cfRule>
    <cfRule type="expression" dxfId="78" priority="6">
      <formula>C5="Descartado"</formula>
    </cfRule>
  </conditionalFormatting>
  <dataValidations count="1">
    <dataValidation type="list" allowBlank="1" errorTitle="Estado no válido" error="Selecciona un estado de la lista." promptTitle="Estado" prompt="Selecciona el estado actual de la incidencia." sqref="C5:C100" xr:uid="{00000000-0002-0000-0D00-000000000000}">
      <formula1>"Pendiente,En curso,Bloqueado,Por validar,Resuelto,Descartado"</formula1>
    </dataValidation>
  </dataValidations>
  <hyperlinks>
    <hyperlink ref="J1" location="'Indice'!A1" display="↩ Índice" xr:uid="{00000000-0004-0000-0D00-000000000000}"/>
  </hyperlink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1F4E78"/>
  </sheetPr>
  <dimension ref="A1:J6"/>
  <sheetViews>
    <sheetView showGridLines="0"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1" width="18" customWidth="1"/>
    <col min="2" max="2" width="55" customWidth="1"/>
    <col min="3" max="3" width="18" customWidth="1"/>
    <col min="4" max="4" width="14" customWidth="1"/>
    <col min="5" max="5" width="20" customWidth="1"/>
    <col min="6" max="6" width="16" customWidth="1"/>
    <col min="7" max="7" width="72" customWidth="1"/>
    <col min="8" max="8" width="16" customWidth="1"/>
    <col min="10" max="10" width="12" customWidth="1"/>
  </cols>
  <sheetData>
    <row r="1" spans="1:10" ht="32.1" customHeight="1" x14ac:dyDescent="0.25">
      <c r="A1" s="39" t="s">
        <v>35</v>
      </c>
      <c r="B1" s="38"/>
      <c r="C1" s="38"/>
      <c r="D1" s="38"/>
      <c r="E1" s="38"/>
      <c r="F1" s="38"/>
      <c r="G1" s="38"/>
      <c r="H1" s="38"/>
      <c r="J1" s="9" t="s">
        <v>96</v>
      </c>
    </row>
    <row r="2" spans="1:10" ht="27.95" customHeight="1" x14ac:dyDescent="0.25">
      <c r="A2" s="37" t="s">
        <v>172</v>
      </c>
      <c r="B2" s="38"/>
      <c r="C2" s="38"/>
      <c r="D2" s="38"/>
      <c r="E2" s="38"/>
      <c r="F2" s="38"/>
      <c r="G2" s="38"/>
      <c r="H2" s="38"/>
    </row>
    <row r="4" spans="1:10" ht="30" customHeight="1" x14ac:dyDescent="0.25">
      <c r="A4" s="1" t="s">
        <v>149</v>
      </c>
      <c r="B4" s="1" t="s">
        <v>150</v>
      </c>
      <c r="C4" s="1" t="s">
        <v>68</v>
      </c>
      <c r="D4" s="1" t="s">
        <v>151</v>
      </c>
      <c r="E4" s="1" t="s">
        <v>152</v>
      </c>
      <c r="F4" s="1" t="s">
        <v>153</v>
      </c>
      <c r="G4" s="1" t="s">
        <v>154</v>
      </c>
      <c r="H4" s="1" t="s">
        <v>155</v>
      </c>
    </row>
    <row r="5" spans="1:10" ht="32.1" customHeight="1" x14ac:dyDescent="0.25">
      <c r="A5" s="7" t="s">
        <v>272</v>
      </c>
      <c r="B5" s="7" t="s">
        <v>273</v>
      </c>
      <c r="C5" s="7" t="s">
        <v>75</v>
      </c>
      <c r="D5" s="7" t="s">
        <v>163</v>
      </c>
      <c r="E5" s="7" t="s">
        <v>274</v>
      </c>
      <c r="F5" s="10">
        <v>3</v>
      </c>
      <c r="G5" s="7" t="s">
        <v>275</v>
      </c>
      <c r="H5" s="7"/>
    </row>
    <row r="6" spans="1:10" ht="32.1" customHeight="1" x14ac:dyDescent="0.25">
      <c r="A6" s="7" t="s">
        <v>276</v>
      </c>
      <c r="B6" s="7" t="s">
        <v>277</v>
      </c>
      <c r="C6" s="7" t="s">
        <v>72</v>
      </c>
      <c r="D6" s="7" t="s">
        <v>163</v>
      </c>
      <c r="E6" s="7" t="s">
        <v>170</v>
      </c>
      <c r="F6" s="10">
        <v>5</v>
      </c>
      <c r="G6" s="7" t="s">
        <v>278</v>
      </c>
      <c r="H6" s="7"/>
    </row>
  </sheetData>
  <mergeCells count="2">
    <mergeCell ref="A2:H2"/>
    <mergeCell ref="A1:H1"/>
  </mergeCells>
  <conditionalFormatting sqref="C5:C100">
    <cfRule type="expression" dxfId="77" priority="1">
      <formula>C5="Pendiente"</formula>
    </cfRule>
    <cfRule type="expression" dxfId="76" priority="2">
      <formula>C5="En curso"</formula>
    </cfRule>
    <cfRule type="expression" dxfId="75" priority="3">
      <formula>C5="Bloqueado"</formula>
    </cfRule>
    <cfRule type="expression" dxfId="74" priority="4">
      <formula>C5="Por validar"</formula>
    </cfRule>
    <cfRule type="expression" dxfId="73" priority="5">
      <formula>C5="Resuelto"</formula>
    </cfRule>
    <cfRule type="expression" dxfId="72" priority="6">
      <formula>C5="Descartado"</formula>
    </cfRule>
  </conditionalFormatting>
  <dataValidations count="1">
    <dataValidation type="list" allowBlank="1" errorTitle="Estado no válido" error="Selecciona un estado de la lista." promptTitle="Estado" prompt="Selecciona el estado actual de la incidencia." sqref="C5:C100" xr:uid="{00000000-0002-0000-0E00-000000000000}">
      <formula1>"Pendiente,En curso,Bloqueado,Por validar,Resuelto,Descartado"</formula1>
    </dataValidation>
  </dataValidations>
  <hyperlinks>
    <hyperlink ref="J1" location="'Indice'!A1" display="↩ Índice" xr:uid="{00000000-0004-0000-0E00-000000000000}"/>
  </hyperlink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1F4E78"/>
  </sheetPr>
  <dimension ref="A1:J8"/>
  <sheetViews>
    <sheetView showGridLines="0"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1" width="18" customWidth="1"/>
    <col min="2" max="2" width="55" customWidth="1"/>
    <col min="3" max="3" width="18" customWidth="1"/>
    <col min="4" max="4" width="14" customWidth="1"/>
    <col min="5" max="5" width="20" customWidth="1"/>
    <col min="6" max="6" width="16" customWidth="1"/>
    <col min="7" max="7" width="72" customWidth="1"/>
    <col min="8" max="8" width="16" customWidth="1"/>
    <col min="10" max="10" width="12" customWidth="1"/>
  </cols>
  <sheetData>
    <row r="1" spans="1:10" ht="32.1" customHeight="1" x14ac:dyDescent="0.25">
      <c r="A1" s="39" t="s">
        <v>37</v>
      </c>
      <c r="B1" s="38"/>
      <c r="C1" s="38"/>
      <c r="D1" s="38"/>
      <c r="E1" s="38"/>
      <c r="F1" s="38"/>
      <c r="G1" s="38"/>
      <c r="H1" s="38"/>
      <c r="J1" s="9" t="s">
        <v>96</v>
      </c>
    </row>
    <row r="2" spans="1:10" ht="27.95" customHeight="1" x14ac:dyDescent="0.25">
      <c r="A2" s="37" t="s">
        <v>172</v>
      </c>
      <c r="B2" s="38"/>
      <c r="C2" s="38"/>
      <c r="D2" s="38"/>
      <c r="E2" s="38"/>
      <c r="F2" s="38"/>
      <c r="G2" s="38"/>
      <c r="H2" s="38"/>
    </row>
    <row r="4" spans="1:10" ht="30" customHeight="1" x14ac:dyDescent="0.25">
      <c r="A4" s="1" t="s">
        <v>149</v>
      </c>
      <c r="B4" s="1" t="s">
        <v>150</v>
      </c>
      <c r="C4" s="1" t="s">
        <v>68</v>
      </c>
      <c r="D4" s="1" t="s">
        <v>151</v>
      </c>
      <c r="E4" s="1" t="s">
        <v>152</v>
      </c>
      <c r="F4" s="1" t="s">
        <v>153</v>
      </c>
      <c r="G4" s="1" t="s">
        <v>154</v>
      </c>
      <c r="H4" s="1" t="s">
        <v>155</v>
      </c>
    </row>
    <row r="5" spans="1:10" ht="42" customHeight="1" x14ac:dyDescent="0.25">
      <c r="A5" s="7" t="s">
        <v>279</v>
      </c>
      <c r="B5" s="7" t="s">
        <v>280</v>
      </c>
      <c r="C5" s="7" t="s">
        <v>72</v>
      </c>
      <c r="D5" s="7" t="s">
        <v>158</v>
      </c>
      <c r="E5" s="7" t="s">
        <v>281</v>
      </c>
      <c r="F5" s="10">
        <v>6</v>
      </c>
      <c r="G5" s="7" t="s">
        <v>282</v>
      </c>
      <c r="H5" s="7"/>
    </row>
    <row r="6" spans="1:10" ht="32.1" customHeight="1" x14ac:dyDescent="0.25">
      <c r="A6" s="7" t="s">
        <v>283</v>
      </c>
      <c r="B6" s="7" t="s">
        <v>284</v>
      </c>
      <c r="C6" s="7" t="s">
        <v>72</v>
      </c>
      <c r="D6" s="7" t="s">
        <v>158</v>
      </c>
      <c r="E6" s="7" t="s">
        <v>285</v>
      </c>
      <c r="F6" s="10">
        <v>6</v>
      </c>
      <c r="G6" s="7" t="s">
        <v>286</v>
      </c>
      <c r="H6" s="7"/>
    </row>
    <row r="7" spans="1:10" ht="42" customHeight="1" x14ac:dyDescent="0.25">
      <c r="A7" s="7" t="s">
        <v>287</v>
      </c>
      <c r="B7" s="7" t="s">
        <v>288</v>
      </c>
      <c r="C7" s="7" t="s">
        <v>72</v>
      </c>
      <c r="D7" s="7" t="s">
        <v>158</v>
      </c>
      <c r="E7" s="7" t="s">
        <v>281</v>
      </c>
      <c r="F7" s="10">
        <v>4</v>
      </c>
      <c r="G7" s="7" t="s">
        <v>289</v>
      </c>
      <c r="H7" s="7"/>
    </row>
    <row r="8" spans="1:10" ht="32.1" customHeight="1" x14ac:dyDescent="0.25">
      <c r="A8" s="7" t="s">
        <v>290</v>
      </c>
      <c r="B8" s="7" t="s">
        <v>291</v>
      </c>
      <c r="C8" s="7" t="s">
        <v>72</v>
      </c>
      <c r="D8" s="7" t="s">
        <v>163</v>
      </c>
      <c r="E8" s="7" t="s">
        <v>292</v>
      </c>
      <c r="F8" s="10">
        <v>4</v>
      </c>
      <c r="G8" s="7" t="s">
        <v>293</v>
      </c>
      <c r="H8" s="7"/>
    </row>
  </sheetData>
  <mergeCells count="2">
    <mergeCell ref="A2:H2"/>
    <mergeCell ref="A1:H1"/>
  </mergeCells>
  <conditionalFormatting sqref="C5:C100">
    <cfRule type="expression" dxfId="71" priority="1">
      <formula>C5="Pendiente"</formula>
    </cfRule>
    <cfRule type="expression" dxfId="70" priority="2">
      <formula>C5="En curso"</formula>
    </cfRule>
    <cfRule type="expression" dxfId="69" priority="3">
      <formula>C5="Bloqueado"</formula>
    </cfRule>
    <cfRule type="expression" dxfId="68" priority="4">
      <formula>C5="Por validar"</formula>
    </cfRule>
    <cfRule type="expression" dxfId="67" priority="5">
      <formula>C5="Resuelto"</formula>
    </cfRule>
    <cfRule type="expression" dxfId="66" priority="6">
      <formula>C5="Descartado"</formula>
    </cfRule>
  </conditionalFormatting>
  <dataValidations count="1">
    <dataValidation type="list" allowBlank="1" errorTitle="Estado no válido" error="Selecciona un estado de la lista." promptTitle="Estado" prompt="Selecciona el estado actual de la incidencia." sqref="C5:C100" xr:uid="{00000000-0002-0000-0F00-000000000000}">
      <formula1>"Pendiente,En curso,Bloqueado,Por validar,Resuelto,Descartado"</formula1>
    </dataValidation>
  </dataValidations>
  <hyperlinks>
    <hyperlink ref="J1" location="'Indice'!A1" display="↩ Índice" xr:uid="{00000000-0004-0000-0F00-000000000000}"/>
  </hyperlink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1F4E78"/>
  </sheetPr>
  <dimension ref="A1:J8"/>
  <sheetViews>
    <sheetView showGridLines="0"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1" width="18" customWidth="1"/>
    <col min="2" max="2" width="55" customWidth="1"/>
    <col min="3" max="3" width="18" customWidth="1"/>
    <col min="4" max="4" width="14" customWidth="1"/>
    <col min="5" max="5" width="20" customWidth="1"/>
    <col min="6" max="6" width="16" customWidth="1"/>
    <col min="7" max="7" width="72" customWidth="1"/>
    <col min="8" max="8" width="16" customWidth="1"/>
    <col min="10" max="10" width="12" customWidth="1"/>
  </cols>
  <sheetData>
    <row r="1" spans="1:10" ht="32.1" customHeight="1" x14ac:dyDescent="0.25">
      <c r="A1" s="39" t="s">
        <v>39</v>
      </c>
      <c r="B1" s="38"/>
      <c r="C1" s="38"/>
      <c r="D1" s="38"/>
      <c r="E1" s="38"/>
      <c r="F1" s="38"/>
      <c r="G1" s="38"/>
      <c r="H1" s="38"/>
      <c r="J1" s="9" t="s">
        <v>96</v>
      </c>
    </row>
    <row r="2" spans="1:10" ht="27.95" customHeight="1" x14ac:dyDescent="0.25">
      <c r="A2" s="37" t="s">
        <v>172</v>
      </c>
      <c r="B2" s="38"/>
      <c r="C2" s="38"/>
      <c r="D2" s="38"/>
      <c r="E2" s="38"/>
      <c r="F2" s="38"/>
      <c r="G2" s="38"/>
      <c r="H2" s="38"/>
    </row>
    <row r="4" spans="1:10" ht="30" customHeight="1" x14ac:dyDescent="0.25">
      <c r="A4" s="1" t="s">
        <v>149</v>
      </c>
      <c r="B4" s="1" t="s">
        <v>150</v>
      </c>
      <c r="C4" s="1" t="s">
        <v>68</v>
      </c>
      <c r="D4" s="1" t="s">
        <v>151</v>
      </c>
      <c r="E4" s="1" t="s">
        <v>152</v>
      </c>
      <c r="F4" s="1" t="s">
        <v>153</v>
      </c>
      <c r="G4" s="1" t="s">
        <v>154</v>
      </c>
      <c r="H4" s="1" t="s">
        <v>155</v>
      </c>
    </row>
    <row r="5" spans="1:10" ht="32.1" customHeight="1" x14ac:dyDescent="0.25">
      <c r="A5" s="7" t="s">
        <v>294</v>
      </c>
      <c r="B5" s="7" t="s">
        <v>295</v>
      </c>
      <c r="C5" s="7" t="s">
        <v>72</v>
      </c>
      <c r="D5" s="7" t="s">
        <v>163</v>
      </c>
      <c r="E5" s="7" t="s">
        <v>296</v>
      </c>
      <c r="F5" s="10">
        <v>4</v>
      </c>
      <c r="G5" s="7" t="s">
        <v>297</v>
      </c>
      <c r="H5" s="7"/>
    </row>
    <row r="6" spans="1:10" ht="32.1" customHeight="1" x14ac:dyDescent="0.25">
      <c r="A6" s="7" t="s">
        <v>298</v>
      </c>
      <c r="B6" s="7" t="s">
        <v>299</v>
      </c>
      <c r="C6" s="7" t="s">
        <v>72</v>
      </c>
      <c r="D6" s="7" t="s">
        <v>158</v>
      </c>
      <c r="E6" s="7" t="s">
        <v>300</v>
      </c>
      <c r="F6" s="10">
        <v>5</v>
      </c>
      <c r="G6" s="7" t="s">
        <v>301</v>
      </c>
      <c r="H6" s="7"/>
    </row>
    <row r="7" spans="1:10" ht="32.1" customHeight="1" x14ac:dyDescent="0.25">
      <c r="A7" s="7" t="s">
        <v>302</v>
      </c>
      <c r="B7" s="7" t="s">
        <v>303</v>
      </c>
      <c r="C7" s="7" t="s">
        <v>72</v>
      </c>
      <c r="D7" s="7" t="s">
        <v>158</v>
      </c>
      <c r="E7" s="7" t="s">
        <v>296</v>
      </c>
      <c r="F7" s="10">
        <v>6</v>
      </c>
      <c r="G7" s="7" t="s">
        <v>304</v>
      </c>
      <c r="H7" s="7"/>
    </row>
    <row r="8" spans="1:10" ht="32.1" customHeight="1" x14ac:dyDescent="0.25">
      <c r="A8" s="7" t="s">
        <v>305</v>
      </c>
      <c r="B8" s="7" t="s">
        <v>306</v>
      </c>
      <c r="C8" s="7" t="s">
        <v>72</v>
      </c>
      <c r="D8" s="7" t="s">
        <v>158</v>
      </c>
      <c r="E8" s="7" t="s">
        <v>175</v>
      </c>
      <c r="F8" s="10">
        <v>6</v>
      </c>
      <c r="G8" s="7" t="s">
        <v>307</v>
      </c>
      <c r="H8" s="7"/>
    </row>
  </sheetData>
  <mergeCells count="2">
    <mergeCell ref="A2:H2"/>
    <mergeCell ref="A1:H1"/>
  </mergeCells>
  <conditionalFormatting sqref="C5:C100">
    <cfRule type="expression" dxfId="65" priority="1">
      <formula>C5="Pendiente"</formula>
    </cfRule>
    <cfRule type="expression" dxfId="64" priority="2">
      <formula>C5="En curso"</formula>
    </cfRule>
    <cfRule type="expression" dxfId="63" priority="3">
      <formula>C5="Bloqueado"</formula>
    </cfRule>
    <cfRule type="expression" dxfId="62" priority="4">
      <formula>C5="Por validar"</formula>
    </cfRule>
    <cfRule type="expression" dxfId="61" priority="5">
      <formula>C5="Resuelto"</formula>
    </cfRule>
    <cfRule type="expression" dxfId="60" priority="6">
      <formula>C5="Descartado"</formula>
    </cfRule>
  </conditionalFormatting>
  <dataValidations count="1">
    <dataValidation type="list" allowBlank="1" errorTitle="Estado no válido" error="Selecciona un estado de la lista." promptTitle="Estado" prompt="Selecciona el estado actual de la incidencia." sqref="C5:C100" xr:uid="{00000000-0002-0000-1000-000000000000}">
      <formula1>"Pendiente,En curso,Bloqueado,Por validar,Resuelto,Descartado"</formula1>
    </dataValidation>
  </dataValidations>
  <hyperlinks>
    <hyperlink ref="J1" location="'Indice'!A1" display="↩ Índice" xr:uid="{00000000-0004-0000-1000-000000000000}"/>
  </hyperlinks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1F4E78"/>
  </sheetPr>
  <dimension ref="A1:J14"/>
  <sheetViews>
    <sheetView showGridLines="0"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1" width="18" customWidth="1"/>
    <col min="2" max="2" width="55" customWidth="1"/>
    <col min="3" max="3" width="18" customWidth="1"/>
    <col min="4" max="4" width="14" customWidth="1"/>
    <col min="5" max="5" width="20" customWidth="1"/>
    <col min="6" max="6" width="16" customWidth="1"/>
    <col min="7" max="7" width="72" customWidth="1"/>
    <col min="8" max="8" width="16" customWidth="1"/>
    <col min="10" max="10" width="12" customWidth="1"/>
  </cols>
  <sheetData>
    <row r="1" spans="1:10" ht="32.1" customHeight="1" x14ac:dyDescent="0.25">
      <c r="A1" s="39" t="s">
        <v>41</v>
      </c>
      <c r="B1" s="38"/>
      <c r="C1" s="38"/>
      <c r="D1" s="38"/>
      <c r="E1" s="38"/>
      <c r="F1" s="38"/>
      <c r="G1" s="38"/>
      <c r="H1" s="38"/>
      <c r="J1" s="9" t="s">
        <v>96</v>
      </c>
    </row>
    <row r="2" spans="1:10" ht="27.95" customHeight="1" x14ac:dyDescent="0.25">
      <c r="A2" s="37" t="s">
        <v>172</v>
      </c>
      <c r="B2" s="38"/>
      <c r="C2" s="38"/>
      <c r="D2" s="38"/>
      <c r="E2" s="38"/>
      <c r="F2" s="38"/>
      <c r="G2" s="38"/>
      <c r="H2" s="38"/>
    </row>
    <row r="4" spans="1:10" ht="30" customHeight="1" x14ac:dyDescent="0.25">
      <c r="A4" s="1" t="s">
        <v>149</v>
      </c>
      <c r="B4" s="1" t="s">
        <v>150</v>
      </c>
      <c r="C4" s="1" t="s">
        <v>68</v>
      </c>
      <c r="D4" s="1" t="s">
        <v>151</v>
      </c>
      <c r="E4" s="1" t="s">
        <v>152</v>
      </c>
      <c r="F4" s="1" t="s">
        <v>153</v>
      </c>
      <c r="G4" s="1" t="s">
        <v>154</v>
      </c>
      <c r="H4" s="1" t="s">
        <v>155</v>
      </c>
    </row>
    <row r="5" spans="1:10" ht="32.1" customHeight="1" x14ac:dyDescent="0.25">
      <c r="A5" s="7" t="s">
        <v>308</v>
      </c>
      <c r="B5" s="7" t="s">
        <v>309</v>
      </c>
      <c r="C5" s="7" t="s">
        <v>72</v>
      </c>
      <c r="D5" s="7" t="s">
        <v>310</v>
      </c>
      <c r="E5" s="7" t="s">
        <v>159</v>
      </c>
      <c r="F5" s="10">
        <v>6</v>
      </c>
      <c r="G5" s="7" t="s">
        <v>311</v>
      </c>
      <c r="H5" s="7"/>
    </row>
    <row r="6" spans="1:10" ht="32.1" customHeight="1" x14ac:dyDescent="0.25">
      <c r="A6" s="7" t="s">
        <v>312</v>
      </c>
      <c r="B6" s="7" t="s">
        <v>313</v>
      </c>
      <c r="C6" s="7" t="s">
        <v>72</v>
      </c>
      <c r="D6" s="7" t="s">
        <v>158</v>
      </c>
      <c r="E6" s="7" t="s">
        <v>159</v>
      </c>
      <c r="F6" s="10">
        <v>6</v>
      </c>
      <c r="G6" s="7" t="s">
        <v>314</v>
      </c>
      <c r="H6" s="7"/>
    </row>
    <row r="7" spans="1:10" ht="32.1" customHeight="1" x14ac:dyDescent="0.25">
      <c r="A7" s="7" t="s">
        <v>315</v>
      </c>
      <c r="B7" s="7" t="s">
        <v>316</v>
      </c>
      <c r="C7" s="7" t="s">
        <v>72</v>
      </c>
      <c r="D7" s="7" t="s">
        <v>158</v>
      </c>
      <c r="E7" s="7" t="s">
        <v>159</v>
      </c>
      <c r="F7" s="10">
        <v>4</v>
      </c>
      <c r="G7" s="7" t="s">
        <v>317</v>
      </c>
      <c r="H7" s="7"/>
    </row>
    <row r="8" spans="1:10" ht="32.1" customHeight="1" x14ac:dyDescent="0.25">
      <c r="A8" s="7" t="s">
        <v>318</v>
      </c>
      <c r="B8" s="7" t="s">
        <v>319</v>
      </c>
      <c r="C8" s="7" t="s">
        <v>72</v>
      </c>
      <c r="D8" s="7" t="s">
        <v>158</v>
      </c>
      <c r="E8" s="7" t="s">
        <v>159</v>
      </c>
      <c r="F8" s="10">
        <v>6</v>
      </c>
      <c r="G8" s="7" t="s">
        <v>320</v>
      </c>
      <c r="H8" s="7"/>
    </row>
    <row r="9" spans="1:10" ht="32.1" customHeight="1" x14ac:dyDescent="0.25">
      <c r="A9" s="7" t="s">
        <v>321</v>
      </c>
      <c r="B9" s="7" t="s">
        <v>322</v>
      </c>
      <c r="C9" s="7" t="s">
        <v>72</v>
      </c>
      <c r="D9" s="7" t="s">
        <v>158</v>
      </c>
      <c r="E9" s="7" t="s">
        <v>159</v>
      </c>
      <c r="F9" s="10">
        <v>3</v>
      </c>
      <c r="G9" s="7" t="s">
        <v>323</v>
      </c>
      <c r="H9" s="7"/>
    </row>
    <row r="10" spans="1:10" ht="42" customHeight="1" x14ac:dyDescent="0.25">
      <c r="A10" s="7" t="s">
        <v>324</v>
      </c>
      <c r="B10" s="7" t="s">
        <v>325</v>
      </c>
      <c r="C10" s="7" t="s">
        <v>72</v>
      </c>
      <c r="D10" s="7" t="s">
        <v>158</v>
      </c>
      <c r="E10" s="7" t="s">
        <v>159</v>
      </c>
      <c r="F10" s="10">
        <v>6</v>
      </c>
      <c r="G10" s="7" t="s">
        <v>326</v>
      </c>
      <c r="H10" s="7"/>
    </row>
    <row r="11" spans="1:10" ht="42" customHeight="1" x14ac:dyDescent="0.25">
      <c r="A11" s="7" t="s">
        <v>327</v>
      </c>
      <c r="B11" s="7" t="s">
        <v>328</v>
      </c>
      <c r="C11" s="7" t="s">
        <v>72</v>
      </c>
      <c r="D11" s="7" t="s">
        <v>163</v>
      </c>
      <c r="E11" s="7" t="s">
        <v>159</v>
      </c>
      <c r="F11" s="10">
        <v>5</v>
      </c>
      <c r="G11" s="7" t="s">
        <v>329</v>
      </c>
      <c r="H11" s="7"/>
    </row>
    <row r="12" spans="1:10" ht="42" customHeight="1" x14ac:dyDescent="0.25">
      <c r="A12" s="7" t="s">
        <v>330</v>
      </c>
      <c r="B12" s="7" t="s">
        <v>331</v>
      </c>
      <c r="C12" s="7" t="s">
        <v>72</v>
      </c>
      <c r="D12" s="7" t="s">
        <v>310</v>
      </c>
      <c r="E12" s="7" t="s">
        <v>175</v>
      </c>
      <c r="F12" s="10">
        <v>3</v>
      </c>
      <c r="G12" s="7" t="s">
        <v>332</v>
      </c>
      <c r="H12" s="7"/>
    </row>
    <row r="13" spans="1:10" ht="32.1" customHeight="1" x14ac:dyDescent="0.25">
      <c r="A13" s="7" t="s">
        <v>333</v>
      </c>
      <c r="B13" s="7" t="s">
        <v>334</v>
      </c>
      <c r="C13" s="7" t="s">
        <v>72</v>
      </c>
      <c r="D13" s="7" t="s">
        <v>163</v>
      </c>
      <c r="E13" s="7" t="s">
        <v>335</v>
      </c>
      <c r="F13" s="10">
        <v>8</v>
      </c>
      <c r="G13" s="7" t="s">
        <v>336</v>
      </c>
      <c r="H13" s="7"/>
    </row>
    <row r="14" spans="1:10" ht="32.1" customHeight="1" x14ac:dyDescent="0.25">
      <c r="A14" s="7" t="s">
        <v>337</v>
      </c>
      <c r="B14" s="7" t="s">
        <v>338</v>
      </c>
      <c r="C14" s="7" t="s">
        <v>72</v>
      </c>
      <c r="D14" s="7" t="s">
        <v>163</v>
      </c>
      <c r="E14" s="7" t="s">
        <v>296</v>
      </c>
      <c r="F14" s="10">
        <v>6</v>
      </c>
      <c r="G14" s="7" t="s">
        <v>339</v>
      </c>
      <c r="H14" s="7"/>
    </row>
  </sheetData>
  <mergeCells count="2">
    <mergeCell ref="A2:H2"/>
    <mergeCell ref="A1:H1"/>
  </mergeCells>
  <conditionalFormatting sqref="C5:C100">
    <cfRule type="expression" dxfId="59" priority="1">
      <formula>C5="Pendiente"</formula>
    </cfRule>
    <cfRule type="expression" dxfId="58" priority="2">
      <formula>C5="En curso"</formula>
    </cfRule>
    <cfRule type="expression" dxfId="57" priority="3">
      <formula>C5="Bloqueado"</formula>
    </cfRule>
    <cfRule type="expression" dxfId="56" priority="4">
      <formula>C5="Por validar"</formula>
    </cfRule>
    <cfRule type="expression" dxfId="55" priority="5">
      <formula>C5="Resuelto"</formula>
    </cfRule>
    <cfRule type="expression" dxfId="54" priority="6">
      <formula>C5="Descartado"</formula>
    </cfRule>
  </conditionalFormatting>
  <dataValidations count="1">
    <dataValidation type="list" allowBlank="1" errorTitle="Estado no válido" error="Selecciona un estado de la lista." promptTitle="Estado" prompt="Selecciona el estado actual de la incidencia." sqref="C5:C100" xr:uid="{00000000-0002-0000-1100-000000000000}">
      <formula1>"Pendiente,En curso,Bloqueado,Por validar,Resuelto,Descartado"</formula1>
    </dataValidation>
  </dataValidations>
  <hyperlinks>
    <hyperlink ref="J1" location="'Indice'!A1" display="↩ Índice" xr:uid="{00000000-0004-0000-1100-000000000000}"/>
  </hyperlinks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1F4E78"/>
  </sheetPr>
  <dimension ref="A1:J9"/>
  <sheetViews>
    <sheetView showGridLines="0"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1" width="18" customWidth="1"/>
    <col min="2" max="2" width="55" customWidth="1"/>
    <col min="3" max="3" width="18" customWidth="1"/>
    <col min="4" max="4" width="14" customWidth="1"/>
    <col min="5" max="5" width="20" customWidth="1"/>
    <col min="6" max="6" width="16" customWidth="1"/>
    <col min="7" max="7" width="72" customWidth="1"/>
    <col min="8" max="8" width="16" customWidth="1"/>
    <col min="10" max="10" width="12" customWidth="1"/>
  </cols>
  <sheetData>
    <row r="1" spans="1:10" ht="32.1" customHeight="1" x14ac:dyDescent="0.25">
      <c r="A1" s="39" t="s">
        <v>43</v>
      </c>
      <c r="B1" s="38"/>
      <c r="C1" s="38"/>
      <c r="D1" s="38"/>
      <c r="E1" s="38"/>
      <c r="F1" s="38"/>
      <c r="G1" s="38"/>
      <c r="H1" s="38"/>
      <c r="J1" s="9" t="s">
        <v>96</v>
      </c>
    </row>
    <row r="2" spans="1:10" ht="27.95" customHeight="1" x14ac:dyDescent="0.25">
      <c r="A2" s="37" t="s">
        <v>172</v>
      </c>
      <c r="B2" s="38"/>
      <c r="C2" s="38"/>
      <c r="D2" s="38"/>
      <c r="E2" s="38"/>
      <c r="F2" s="38"/>
      <c r="G2" s="38"/>
      <c r="H2" s="38"/>
    </row>
    <row r="4" spans="1:10" ht="30" customHeight="1" x14ac:dyDescent="0.25">
      <c r="A4" s="1" t="s">
        <v>149</v>
      </c>
      <c r="B4" s="1" t="s">
        <v>150</v>
      </c>
      <c r="C4" s="1" t="s">
        <v>68</v>
      </c>
      <c r="D4" s="1" t="s">
        <v>151</v>
      </c>
      <c r="E4" s="1" t="s">
        <v>152</v>
      </c>
      <c r="F4" s="1" t="s">
        <v>153</v>
      </c>
      <c r="G4" s="1" t="s">
        <v>154</v>
      </c>
      <c r="H4" s="1" t="s">
        <v>155</v>
      </c>
    </row>
    <row r="5" spans="1:10" ht="42" customHeight="1" x14ac:dyDescent="0.25">
      <c r="A5" s="7" t="s">
        <v>340</v>
      </c>
      <c r="B5" s="7" t="s">
        <v>341</v>
      </c>
      <c r="C5" s="7" t="s">
        <v>72</v>
      </c>
      <c r="D5" s="7" t="s">
        <v>310</v>
      </c>
      <c r="E5" s="7" t="s">
        <v>159</v>
      </c>
      <c r="F5" s="10">
        <v>1</v>
      </c>
      <c r="G5" s="7" t="s">
        <v>342</v>
      </c>
      <c r="H5" s="7"/>
    </row>
    <row r="6" spans="1:10" ht="32.1" customHeight="1" x14ac:dyDescent="0.25">
      <c r="A6" s="7" t="s">
        <v>343</v>
      </c>
      <c r="B6" s="7" t="s">
        <v>344</v>
      </c>
      <c r="C6" s="7" t="s">
        <v>72</v>
      </c>
      <c r="D6" s="7" t="s">
        <v>158</v>
      </c>
      <c r="E6" s="7" t="s">
        <v>232</v>
      </c>
      <c r="F6" s="10">
        <v>2</v>
      </c>
      <c r="G6" s="7" t="s">
        <v>345</v>
      </c>
      <c r="H6" s="7"/>
    </row>
    <row r="7" spans="1:10" ht="32.1" customHeight="1" x14ac:dyDescent="0.25">
      <c r="A7" s="7" t="s">
        <v>346</v>
      </c>
      <c r="B7" s="7" t="s">
        <v>347</v>
      </c>
      <c r="C7" s="7" t="s">
        <v>72</v>
      </c>
      <c r="D7" s="7" t="s">
        <v>158</v>
      </c>
      <c r="E7" s="7" t="s">
        <v>348</v>
      </c>
      <c r="F7" s="10">
        <v>16</v>
      </c>
      <c r="G7" s="7" t="s">
        <v>349</v>
      </c>
      <c r="H7" s="7"/>
    </row>
    <row r="8" spans="1:10" ht="32.1" customHeight="1" x14ac:dyDescent="0.25">
      <c r="A8" s="7" t="s">
        <v>350</v>
      </c>
      <c r="B8" s="7" t="s">
        <v>351</v>
      </c>
      <c r="C8" s="7" t="s">
        <v>72</v>
      </c>
      <c r="D8" s="7" t="s">
        <v>158</v>
      </c>
      <c r="E8" s="7" t="s">
        <v>159</v>
      </c>
      <c r="F8" s="10">
        <v>4</v>
      </c>
      <c r="G8" s="7" t="s">
        <v>352</v>
      </c>
      <c r="H8" s="7"/>
    </row>
    <row r="9" spans="1:10" ht="32.1" customHeight="1" x14ac:dyDescent="0.25">
      <c r="A9" s="7" t="s">
        <v>353</v>
      </c>
      <c r="B9" s="7" t="s">
        <v>354</v>
      </c>
      <c r="C9" s="7" t="s">
        <v>72</v>
      </c>
      <c r="D9" s="7" t="s">
        <v>158</v>
      </c>
      <c r="E9" s="7" t="s">
        <v>270</v>
      </c>
      <c r="F9" s="10">
        <v>4</v>
      </c>
      <c r="G9" s="7" t="s">
        <v>355</v>
      </c>
      <c r="H9" s="7"/>
    </row>
  </sheetData>
  <mergeCells count="2">
    <mergeCell ref="A2:H2"/>
    <mergeCell ref="A1:H1"/>
  </mergeCells>
  <conditionalFormatting sqref="C5:C100">
    <cfRule type="expression" dxfId="53" priority="1">
      <formula>C5="Pendiente"</formula>
    </cfRule>
    <cfRule type="expression" dxfId="52" priority="2">
      <formula>C5="En curso"</formula>
    </cfRule>
    <cfRule type="expression" dxfId="51" priority="3">
      <formula>C5="Bloqueado"</formula>
    </cfRule>
    <cfRule type="expression" dxfId="50" priority="4">
      <formula>C5="Por validar"</formula>
    </cfRule>
    <cfRule type="expression" dxfId="49" priority="5">
      <formula>C5="Resuelto"</formula>
    </cfRule>
    <cfRule type="expression" dxfId="48" priority="6">
      <formula>C5="Descartado"</formula>
    </cfRule>
  </conditionalFormatting>
  <dataValidations count="1">
    <dataValidation type="list" allowBlank="1" errorTitle="Estado no válido" error="Selecciona un estado de la lista." promptTitle="Estado" prompt="Selecciona el estado actual de la incidencia." sqref="C5:C100" xr:uid="{00000000-0002-0000-1200-000000000000}">
      <formula1>"Pendiente,En curso,Bloqueado,Por validar,Resuelto,Descartado"</formula1>
    </dataValidation>
  </dataValidations>
  <hyperlinks>
    <hyperlink ref="J1" location="'Indice'!A1" display="↩ Índice" xr:uid="{00000000-0004-0000-1200-000000000000}"/>
  </hyperlinks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1F4E78"/>
  </sheetPr>
  <dimension ref="A1:J9"/>
  <sheetViews>
    <sheetView showGridLines="0"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1" width="18" customWidth="1"/>
    <col min="2" max="2" width="55" customWidth="1"/>
    <col min="3" max="3" width="18" customWidth="1"/>
    <col min="4" max="4" width="14" customWidth="1"/>
    <col min="5" max="5" width="20" customWidth="1"/>
    <col min="6" max="6" width="16" customWidth="1"/>
    <col min="7" max="7" width="72" customWidth="1"/>
    <col min="8" max="8" width="16" customWidth="1"/>
    <col min="10" max="10" width="12" customWidth="1"/>
  </cols>
  <sheetData>
    <row r="1" spans="1:10" ht="32.1" customHeight="1" x14ac:dyDescent="0.25">
      <c r="A1" s="39" t="s">
        <v>45</v>
      </c>
      <c r="B1" s="38"/>
      <c r="C1" s="38"/>
      <c r="D1" s="38"/>
      <c r="E1" s="38"/>
      <c r="F1" s="38"/>
      <c r="G1" s="38"/>
      <c r="H1" s="38"/>
      <c r="J1" s="9" t="s">
        <v>96</v>
      </c>
    </row>
    <row r="2" spans="1:10" ht="27.95" customHeight="1" x14ac:dyDescent="0.25">
      <c r="A2" s="37" t="s">
        <v>172</v>
      </c>
      <c r="B2" s="38"/>
      <c r="C2" s="38"/>
      <c r="D2" s="38"/>
      <c r="E2" s="38"/>
      <c r="F2" s="38"/>
      <c r="G2" s="38"/>
      <c r="H2" s="38"/>
    </row>
    <row r="4" spans="1:10" ht="30" customHeight="1" x14ac:dyDescent="0.25">
      <c r="A4" s="1" t="s">
        <v>149</v>
      </c>
      <c r="B4" s="1" t="s">
        <v>150</v>
      </c>
      <c r="C4" s="1" t="s">
        <v>68</v>
      </c>
      <c r="D4" s="1" t="s">
        <v>151</v>
      </c>
      <c r="E4" s="1" t="s">
        <v>152</v>
      </c>
      <c r="F4" s="1" t="s">
        <v>153</v>
      </c>
      <c r="G4" s="1" t="s">
        <v>154</v>
      </c>
      <c r="H4" s="1" t="s">
        <v>155</v>
      </c>
    </row>
    <row r="5" spans="1:10" ht="32.1" customHeight="1" x14ac:dyDescent="0.25">
      <c r="A5" s="7" t="s">
        <v>356</v>
      </c>
      <c r="B5" s="7" t="s">
        <v>357</v>
      </c>
      <c r="C5" s="7" t="s">
        <v>72</v>
      </c>
      <c r="D5" s="7" t="s">
        <v>310</v>
      </c>
      <c r="E5" s="7" t="s">
        <v>175</v>
      </c>
      <c r="F5" s="10">
        <v>8</v>
      </c>
      <c r="G5" s="7" t="s">
        <v>358</v>
      </c>
      <c r="H5" s="7"/>
    </row>
    <row r="6" spans="1:10" ht="32.1" customHeight="1" x14ac:dyDescent="0.25">
      <c r="A6" s="7" t="s">
        <v>359</v>
      </c>
      <c r="B6" s="7" t="s">
        <v>360</v>
      </c>
      <c r="C6" s="7" t="s">
        <v>72</v>
      </c>
      <c r="D6" s="7" t="s">
        <v>158</v>
      </c>
      <c r="E6" s="7" t="s">
        <v>270</v>
      </c>
      <c r="F6" s="10">
        <v>8</v>
      </c>
      <c r="G6" s="7" t="s">
        <v>361</v>
      </c>
      <c r="H6" s="7"/>
    </row>
    <row r="7" spans="1:10" ht="32.1" customHeight="1" x14ac:dyDescent="0.25">
      <c r="A7" s="7" t="s">
        <v>362</v>
      </c>
      <c r="B7" s="7" t="s">
        <v>363</v>
      </c>
      <c r="C7" s="7" t="s">
        <v>72</v>
      </c>
      <c r="D7" s="7" t="s">
        <v>163</v>
      </c>
      <c r="E7" s="7" t="s">
        <v>179</v>
      </c>
      <c r="F7" s="10">
        <v>2</v>
      </c>
      <c r="G7" s="7" t="s">
        <v>364</v>
      </c>
      <c r="H7" s="7"/>
    </row>
    <row r="8" spans="1:10" ht="32.1" customHeight="1" x14ac:dyDescent="0.25">
      <c r="A8" s="7" t="s">
        <v>365</v>
      </c>
      <c r="B8" s="7" t="s">
        <v>366</v>
      </c>
      <c r="C8" s="7" t="s">
        <v>72</v>
      </c>
      <c r="D8" s="7" t="s">
        <v>158</v>
      </c>
      <c r="E8" s="7" t="s">
        <v>175</v>
      </c>
      <c r="F8" s="10">
        <v>10</v>
      </c>
      <c r="G8" s="7" t="s">
        <v>367</v>
      </c>
      <c r="H8" s="7"/>
    </row>
    <row r="9" spans="1:10" ht="32.1" customHeight="1" x14ac:dyDescent="0.25">
      <c r="A9" s="7" t="s">
        <v>368</v>
      </c>
      <c r="B9" s="7" t="s">
        <v>369</v>
      </c>
      <c r="C9" s="7" t="s">
        <v>72</v>
      </c>
      <c r="D9" s="7" t="s">
        <v>158</v>
      </c>
      <c r="E9" s="7" t="s">
        <v>175</v>
      </c>
      <c r="F9" s="10">
        <v>3</v>
      </c>
      <c r="G9" s="7" t="s">
        <v>370</v>
      </c>
      <c r="H9" s="7"/>
    </row>
  </sheetData>
  <mergeCells count="2">
    <mergeCell ref="A2:H2"/>
    <mergeCell ref="A1:H1"/>
  </mergeCells>
  <conditionalFormatting sqref="C5:C100">
    <cfRule type="expression" dxfId="47" priority="1">
      <formula>C5="Pendiente"</formula>
    </cfRule>
    <cfRule type="expression" dxfId="46" priority="2">
      <formula>C5="En curso"</formula>
    </cfRule>
    <cfRule type="expression" dxfId="45" priority="3">
      <formula>C5="Bloqueado"</formula>
    </cfRule>
    <cfRule type="expression" dxfId="44" priority="4">
      <formula>C5="Por validar"</formula>
    </cfRule>
    <cfRule type="expression" dxfId="43" priority="5">
      <formula>C5="Resuelto"</formula>
    </cfRule>
    <cfRule type="expression" dxfId="42" priority="6">
      <formula>C5="Descartado"</formula>
    </cfRule>
  </conditionalFormatting>
  <dataValidations count="1">
    <dataValidation type="list" allowBlank="1" errorTitle="Estado no válido" error="Selecciona un estado de la lista." promptTitle="Estado" prompt="Selecciona el estado actual de la incidencia." sqref="C5:C100" xr:uid="{00000000-0002-0000-1300-000000000000}">
      <formula1>"Pendiente,En curso,Bloqueado,Por validar,Resuelto,Descartado"</formula1>
    </dataValidation>
  </dataValidations>
  <hyperlinks>
    <hyperlink ref="J1" location="'Indice'!A1" display="↩ Índice" xr:uid="{00000000-0004-0000-1300-000000000000}"/>
  </hyperlinks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1F4E78"/>
  </sheetPr>
  <dimension ref="A1:J9"/>
  <sheetViews>
    <sheetView showGridLines="0"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1" width="18" customWidth="1"/>
    <col min="2" max="2" width="55" customWidth="1"/>
    <col min="3" max="3" width="18" customWidth="1"/>
    <col min="4" max="4" width="14" customWidth="1"/>
    <col min="5" max="5" width="20" customWidth="1"/>
    <col min="6" max="6" width="16" customWidth="1"/>
    <col min="7" max="7" width="72" customWidth="1"/>
    <col min="8" max="8" width="16" customWidth="1"/>
    <col min="10" max="10" width="12" customWidth="1"/>
  </cols>
  <sheetData>
    <row r="1" spans="1:10" ht="32.1" customHeight="1" x14ac:dyDescent="0.25">
      <c r="A1" s="39" t="s">
        <v>47</v>
      </c>
      <c r="B1" s="38"/>
      <c r="C1" s="38"/>
      <c r="D1" s="38"/>
      <c r="E1" s="38"/>
      <c r="F1" s="38"/>
      <c r="G1" s="38"/>
      <c r="H1" s="38"/>
      <c r="J1" s="9" t="s">
        <v>96</v>
      </c>
    </row>
    <row r="2" spans="1:10" ht="27.95" customHeight="1" x14ac:dyDescent="0.25">
      <c r="A2" s="37" t="s">
        <v>172</v>
      </c>
      <c r="B2" s="38"/>
      <c r="C2" s="38"/>
      <c r="D2" s="38"/>
      <c r="E2" s="38"/>
      <c r="F2" s="38"/>
      <c r="G2" s="38"/>
      <c r="H2" s="38"/>
    </row>
    <row r="4" spans="1:10" ht="30" customHeight="1" x14ac:dyDescent="0.25">
      <c r="A4" s="1" t="s">
        <v>149</v>
      </c>
      <c r="B4" s="1" t="s">
        <v>150</v>
      </c>
      <c r="C4" s="1" t="s">
        <v>68</v>
      </c>
      <c r="D4" s="1" t="s">
        <v>151</v>
      </c>
      <c r="E4" s="1" t="s">
        <v>152</v>
      </c>
      <c r="F4" s="1" t="s">
        <v>153</v>
      </c>
      <c r="G4" s="1" t="s">
        <v>154</v>
      </c>
      <c r="H4" s="1" t="s">
        <v>155</v>
      </c>
    </row>
    <row r="5" spans="1:10" ht="42" customHeight="1" x14ac:dyDescent="0.25">
      <c r="A5" s="7" t="s">
        <v>371</v>
      </c>
      <c r="B5" s="7" t="s">
        <v>372</v>
      </c>
      <c r="C5" s="7" t="s">
        <v>72</v>
      </c>
      <c r="D5" s="7" t="s">
        <v>163</v>
      </c>
      <c r="E5" s="7" t="s">
        <v>373</v>
      </c>
      <c r="F5" s="10">
        <v>4</v>
      </c>
      <c r="G5" s="7" t="s">
        <v>374</v>
      </c>
      <c r="H5" s="7"/>
    </row>
    <row r="6" spans="1:10" ht="32.1" customHeight="1" x14ac:dyDescent="0.25">
      <c r="A6" s="7" t="s">
        <v>375</v>
      </c>
      <c r="B6" s="7" t="s">
        <v>376</v>
      </c>
      <c r="C6" s="7" t="s">
        <v>72</v>
      </c>
      <c r="D6" s="7" t="s">
        <v>163</v>
      </c>
      <c r="E6" s="7" t="s">
        <v>170</v>
      </c>
      <c r="F6" s="10">
        <v>4</v>
      </c>
      <c r="G6" s="7" t="s">
        <v>377</v>
      </c>
      <c r="H6" s="7"/>
    </row>
    <row r="7" spans="1:10" ht="32.1" customHeight="1" x14ac:dyDescent="0.25">
      <c r="A7" s="7" t="s">
        <v>378</v>
      </c>
      <c r="B7" s="7" t="s">
        <v>379</v>
      </c>
      <c r="C7" s="7" t="s">
        <v>72</v>
      </c>
      <c r="D7" s="7" t="s">
        <v>380</v>
      </c>
      <c r="E7" s="7" t="s">
        <v>159</v>
      </c>
      <c r="F7" s="10">
        <v>3</v>
      </c>
      <c r="G7" s="7" t="s">
        <v>381</v>
      </c>
      <c r="H7" s="7"/>
    </row>
    <row r="8" spans="1:10" ht="32.1" customHeight="1" x14ac:dyDescent="0.25">
      <c r="A8" s="7" t="s">
        <v>382</v>
      </c>
      <c r="B8" s="7" t="s">
        <v>383</v>
      </c>
      <c r="C8" s="7" t="s">
        <v>72</v>
      </c>
      <c r="D8" s="7" t="s">
        <v>158</v>
      </c>
      <c r="E8" s="7" t="s">
        <v>384</v>
      </c>
      <c r="F8" s="10">
        <v>4</v>
      </c>
      <c r="G8" s="7" t="s">
        <v>385</v>
      </c>
      <c r="H8" s="7"/>
    </row>
    <row r="9" spans="1:10" ht="32.1" customHeight="1" x14ac:dyDescent="0.25">
      <c r="A9" s="7" t="s">
        <v>386</v>
      </c>
      <c r="B9" s="7" t="s">
        <v>387</v>
      </c>
      <c r="C9" s="7" t="s">
        <v>72</v>
      </c>
      <c r="D9" s="7" t="s">
        <v>163</v>
      </c>
      <c r="E9" s="7" t="s">
        <v>384</v>
      </c>
      <c r="F9" s="10">
        <v>3</v>
      </c>
      <c r="G9" s="7" t="s">
        <v>388</v>
      </c>
      <c r="H9" s="7"/>
    </row>
  </sheetData>
  <mergeCells count="2">
    <mergeCell ref="A2:H2"/>
    <mergeCell ref="A1:H1"/>
  </mergeCells>
  <conditionalFormatting sqref="C5:C100">
    <cfRule type="expression" dxfId="41" priority="1">
      <formula>C5="Pendiente"</formula>
    </cfRule>
    <cfRule type="expression" dxfId="40" priority="2">
      <formula>C5="En curso"</formula>
    </cfRule>
    <cfRule type="expression" dxfId="39" priority="3">
      <formula>C5="Bloqueado"</formula>
    </cfRule>
    <cfRule type="expression" dxfId="38" priority="4">
      <formula>C5="Por validar"</formula>
    </cfRule>
    <cfRule type="expression" dxfId="37" priority="5">
      <formula>C5="Resuelto"</formula>
    </cfRule>
    <cfRule type="expression" dxfId="36" priority="6">
      <formula>C5="Descartado"</formula>
    </cfRule>
  </conditionalFormatting>
  <dataValidations count="1">
    <dataValidation type="list" allowBlank="1" errorTitle="Estado no válido" error="Selecciona un estado de la lista." promptTitle="Estado" prompt="Selecciona el estado actual de la incidencia." sqref="C5:C100" xr:uid="{00000000-0002-0000-1400-000000000000}">
      <formula1>"Pendiente,En curso,Bloqueado,Por validar,Resuelto,Descartado"</formula1>
    </dataValidation>
  </dataValidations>
  <hyperlinks>
    <hyperlink ref="J1" location="'Indice'!A1" display="↩ Índice" xr:uid="{00000000-0004-0000-1400-000000000000}"/>
  </hyperlinks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1F4E78"/>
  </sheetPr>
  <dimension ref="A1:J39"/>
  <sheetViews>
    <sheetView showGridLines="0"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1" width="18" customWidth="1"/>
    <col min="2" max="2" width="55" customWidth="1"/>
    <col min="3" max="3" width="18" customWidth="1"/>
    <col min="4" max="4" width="14" customWidth="1"/>
    <col min="5" max="5" width="20" customWidth="1"/>
    <col min="6" max="6" width="16" customWidth="1"/>
    <col min="7" max="7" width="72" customWidth="1"/>
    <col min="8" max="8" width="16" customWidth="1"/>
    <col min="10" max="10" width="12" customWidth="1"/>
  </cols>
  <sheetData>
    <row r="1" spans="1:10" ht="32.1" customHeight="1" x14ac:dyDescent="0.25">
      <c r="A1" s="39" t="s">
        <v>49</v>
      </c>
      <c r="B1" s="38"/>
      <c r="C1" s="38"/>
      <c r="D1" s="38"/>
      <c r="E1" s="38"/>
      <c r="F1" s="38"/>
      <c r="G1" s="38"/>
      <c r="H1" s="38"/>
      <c r="J1" s="9" t="s">
        <v>96</v>
      </c>
    </row>
    <row r="2" spans="1:10" ht="27.95" customHeight="1" x14ac:dyDescent="0.25">
      <c r="A2" s="37" t="s">
        <v>172</v>
      </c>
      <c r="B2" s="38"/>
      <c r="C2" s="38"/>
      <c r="D2" s="38"/>
      <c r="E2" s="38"/>
      <c r="F2" s="38"/>
      <c r="G2" s="38"/>
      <c r="H2" s="38"/>
    </row>
    <row r="4" spans="1:10" ht="30" customHeight="1" x14ac:dyDescent="0.25">
      <c r="A4" s="1" t="s">
        <v>149</v>
      </c>
      <c r="B4" s="1" t="s">
        <v>150</v>
      </c>
      <c r="C4" s="1" t="s">
        <v>68</v>
      </c>
      <c r="D4" s="1" t="s">
        <v>151</v>
      </c>
      <c r="E4" s="1" t="s">
        <v>152</v>
      </c>
      <c r="F4" s="1" t="s">
        <v>153</v>
      </c>
      <c r="G4" s="1" t="s">
        <v>154</v>
      </c>
      <c r="H4" s="1" t="s">
        <v>155</v>
      </c>
    </row>
    <row r="5" spans="1:10" ht="32.1" customHeight="1" x14ac:dyDescent="0.25">
      <c r="A5" s="7" t="s">
        <v>389</v>
      </c>
      <c r="B5" s="7" t="s">
        <v>390</v>
      </c>
      <c r="C5" s="7" t="s">
        <v>75</v>
      </c>
      <c r="D5" s="7" t="s">
        <v>163</v>
      </c>
      <c r="E5" s="7" t="s">
        <v>391</v>
      </c>
      <c r="F5" s="10">
        <v>0</v>
      </c>
      <c r="G5" s="7" t="s">
        <v>392</v>
      </c>
      <c r="H5" s="7"/>
    </row>
    <row r="6" spans="1:10" ht="32.1" customHeight="1" x14ac:dyDescent="0.25">
      <c r="A6" s="7" t="s">
        <v>393</v>
      </c>
      <c r="B6" s="7" t="s">
        <v>394</v>
      </c>
      <c r="C6" s="7" t="s">
        <v>75</v>
      </c>
      <c r="D6" s="7" t="s">
        <v>163</v>
      </c>
      <c r="E6" s="7" t="s">
        <v>391</v>
      </c>
      <c r="F6" s="10">
        <v>0</v>
      </c>
      <c r="G6" s="7" t="s">
        <v>395</v>
      </c>
      <c r="H6" s="7"/>
    </row>
    <row r="7" spans="1:10" ht="32.1" customHeight="1" x14ac:dyDescent="0.25">
      <c r="A7" s="7" t="s">
        <v>396</v>
      </c>
      <c r="B7" s="7" t="s">
        <v>397</v>
      </c>
      <c r="C7" s="7" t="s">
        <v>72</v>
      </c>
      <c r="D7" s="7" t="s">
        <v>163</v>
      </c>
      <c r="E7" s="7" t="s">
        <v>159</v>
      </c>
      <c r="F7" s="10">
        <v>0</v>
      </c>
      <c r="G7" s="7" t="s">
        <v>398</v>
      </c>
      <c r="H7" s="7"/>
    </row>
    <row r="10" spans="1:10" ht="15.75" x14ac:dyDescent="0.25">
      <c r="A10" s="50" t="s">
        <v>399</v>
      </c>
      <c r="B10" s="38"/>
      <c r="C10" s="38"/>
      <c r="D10" s="38"/>
      <c r="E10" s="38"/>
      <c r="F10" s="38"/>
    </row>
    <row r="11" spans="1:10" ht="30" customHeight="1" x14ac:dyDescent="0.25">
      <c r="A11" s="1" t="s">
        <v>400</v>
      </c>
      <c r="B11" s="1" t="s">
        <v>82</v>
      </c>
      <c r="C11" s="1" t="s">
        <v>401</v>
      </c>
      <c r="D11" s="1" t="s">
        <v>402</v>
      </c>
      <c r="E11" s="1" t="s">
        <v>403</v>
      </c>
      <c r="F11" s="1" t="s">
        <v>117</v>
      </c>
    </row>
    <row r="12" spans="1:10" ht="30" customHeight="1" x14ac:dyDescent="0.25">
      <c r="A12" s="7" t="s">
        <v>404</v>
      </c>
      <c r="B12" s="7" t="s">
        <v>405</v>
      </c>
      <c r="C12" s="11">
        <v>40</v>
      </c>
      <c r="D12" s="12">
        <v>45</v>
      </c>
      <c r="E12" s="12">
        <v>1800</v>
      </c>
      <c r="F12" s="7" t="s">
        <v>406</v>
      </c>
    </row>
    <row r="13" spans="1:10" ht="30" customHeight="1" x14ac:dyDescent="0.25">
      <c r="A13" s="7" t="s">
        <v>404</v>
      </c>
      <c r="B13" s="7" t="s">
        <v>407</v>
      </c>
      <c r="C13" s="11">
        <v>120</v>
      </c>
      <c r="D13" s="12">
        <v>45</v>
      </c>
      <c r="E13" s="12">
        <v>5400</v>
      </c>
      <c r="F13" s="7" t="s">
        <v>406</v>
      </c>
    </row>
    <row r="14" spans="1:10" ht="30" customHeight="1" x14ac:dyDescent="0.25">
      <c r="A14" s="7" t="s">
        <v>404</v>
      </c>
      <c r="B14" s="7" t="s">
        <v>408</v>
      </c>
      <c r="C14" s="11">
        <v>60</v>
      </c>
      <c r="D14" s="12">
        <v>45</v>
      </c>
      <c r="E14" s="12">
        <v>2700</v>
      </c>
      <c r="F14" s="7" t="s">
        <v>406</v>
      </c>
    </row>
    <row r="15" spans="1:10" ht="30" customHeight="1" x14ac:dyDescent="0.25">
      <c r="A15" s="7" t="s">
        <v>404</v>
      </c>
      <c r="B15" s="7" t="s">
        <v>409</v>
      </c>
      <c r="C15" s="11">
        <v>70</v>
      </c>
      <c r="D15" s="12">
        <v>45</v>
      </c>
      <c r="E15" s="12">
        <v>3150</v>
      </c>
      <c r="F15" s="7" t="s">
        <v>406</v>
      </c>
    </row>
    <row r="16" spans="1:10" ht="30" customHeight="1" x14ac:dyDescent="0.25">
      <c r="A16" s="7" t="s">
        <v>404</v>
      </c>
      <c r="B16" s="7" t="s">
        <v>410</v>
      </c>
      <c r="C16" s="11">
        <v>140</v>
      </c>
      <c r="D16" s="12">
        <v>45</v>
      </c>
      <c r="E16" s="12">
        <v>6300</v>
      </c>
      <c r="F16" s="7" t="s">
        <v>406</v>
      </c>
    </row>
    <row r="17" spans="1:6" ht="30" customHeight="1" x14ac:dyDescent="0.25">
      <c r="A17" s="7" t="s">
        <v>404</v>
      </c>
      <c r="B17" s="7" t="s">
        <v>411</v>
      </c>
      <c r="C17" s="11">
        <v>30</v>
      </c>
      <c r="D17" s="12">
        <v>45</v>
      </c>
      <c r="E17" s="12">
        <v>1350</v>
      </c>
      <c r="F17" s="7" t="s">
        <v>406</v>
      </c>
    </row>
    <row r="18" spans="1:6" ht="30" customHeight="1" x14ac:dyDescent="0.25">
      <c r="A18" s="7" t="s">
        <v>404</v>
      </c>
      <c r="B18" s="7" t="s">
        <v>412</v>
      </c>
      <c r="C18" s="11">
        <v>40</v>
      </c>
      <c r="D18" s="12">
        <v>45</v>
      </c>
      <c r="E18" s="12">
        <v>1800</v>
      </c>
      <c r="F18" s="7" t="s">
        <v>406</v>
      </c>
    </row>
    <row r="19" spans="1:6" ht="30" customHeight="1" x14ac:dyDescent="0.25">
      <c r="A19" s="7" t="s">
        <v>404</v>
      </c>
      <c r="B19" s="7" t="s">
        <v>413</v>
      </c>
      <c r="C19" s="11">
        <v>40</v>
      </c>
      <c r="D19" s="12">
        <v>45</v>
      </c>
      <c r="E19" s="12">
        <v>1800</v>
      </c>
      <c r="F19" s="7" t="s">
        <v>406</v>
      </c>
    </row>
    <row r="20" spans="1:6" ht="30" customHeight="1" x14ac:dyDescent="0.25">
      <c r="A20" s="7" t="s">
        <v>404</v>
      </c>
      <c r="B20" s="7" t="s">
        <v>414</v>
      </c>
      <c r="C20" s="11">
        <v>60</v>
      </c>
      <c r="D20" s="12">
        <v>45</v>
      </c>
      <c r="E20" s="12">
        <v>2700</v>
      </c>
      <c r="F20" s="7" t="s">
        <v>406</v>
      </c>
    </row>
    <row r="21" spans="1:6" ht="30" customHeight="1" x14ac:dyDescent="0.25">
      <c r="A21" s="7" t="s">
        <v>404</v>
      </c>
      <c r="B21" s="7" t="s">
        <v>415</v>
      </c>
      <c r="C21" s="11">
        <v>40</v>
      </c>
      <c r="D21" s="12">
        <v>45</v>
      </c>
      <c r="E21" s="12">
        <v>1800</v>
      </c>
      <c r="F21" s="7" t="s">
        <v>406</v>
      </c>
    </row>
    <row r="22" spans="1:6" ht="30" customHeight="1" x14ac:dyDescent="0.25">
      <c r="A22" s="7" t="s">
        <v>404</v>
      </c>
      <c r="B22" s="7" t="s">
        <v>416</v>
      </c>
      <c r="C22" s="11">
        <v>90</v>
      </c>
      <c r="D22" s="12">
        <v>45</v>
      </c>
      <c r="E22" s="12">
        <v>4050</v>
      </c>
      <c r="F22" s="7" t="s">
        <v>406</v>
      </c>
    </row>
    <row r="23" spans="1:6" ht="30" customHeight="1" x14ac:dyDescent="0.25">
      <c r="A23" s="7" t="s">
        <v>404</v>
      </c>
      <c r="B23" s="7" t="s">
        <v>417</v>
      </c>
      <c r="C23" s="11">
        <v>50</v>
      </c>
      <c r="D23" s="12">
        <v>45</v>
      </c>
      <c r="E23" s="12">
        <v>2250</v>
      </c>
      <c r="F23" s="7" t="s">
        <v>406</v>
      </c>
    </row>
    <row r="24" spans="1:6" ht="30" customHeight="1" x14ac:dyDescent="0.25">
      <c r="A24" s="7" t="s">
        <v>404</v>
      </c>
      <c r="B24" s="7" t="s">
        <v>418</v>
      </c>
      <c r="C24" s="11">
        <v>80</v>
      </c>
      <c r="D24" s="12">
        <v>45</v>
      </c>
      <c r="E24" s="12">
        <v>3600</v>
      </c>
      <c r="F24" s="7" t="s">
        <v>419</v>
      </c>
    </row>
    <row r="25" spans="1:6" ht="30" customHeight="1" x14ac:dyDescent="0.25">
      <c r="A25" s="7" t="s">
        <v>404</v>
      </c>
      <c r="B25" s="7" t="s">
        <v>420</v>
      </c>
      <c r="C25" s="11">
        <v>60</v>
      </c>
      <c r="D25" s="12">
        <v>45</v>
      </c>
      <c r="E25" s="12">
        <v>2700</v>
      </c>
      <c r="F25" s="7" t="s">
        <v>406</v>
      </c>
    </row>
    <row r="26" spans="1:6" ht="30" customHeight="1" x14ac:dyDescent="0.25">
      <c r="A26" s="7" t="s">
        <v>404</v>
      </c>
      <c r="B26" s="7" t="s">
        <v>421</v>
      </c>
      <c r="C26" s="11">
        <v>35</v>
      </c>
      <c r="D26" s="12">
        <v>45</v>
      </c>
      <c r="E26" s="12">
        <v>1575</v>
      </c>
      <c r="F26" s="7" t="s">
        <v>406</v>
      </c>
    </row>
    <row r="27" spans="1:6" ht="30" customHeight="1" x14ac:dyDescent="0.25">
      <c r="A27" s="7" t="s">
        <v>404</v>
      </c>
      <c r="B27" s="7" t="s">
        <v>422</v>
      </c>
      <c r="C27" s="11">
        <v>25</v>
      </c>
      <c r="D27" s="12">
        <v>45</v>
      </c>
      <c r="E27" s="12">
        <v>1125</v>
      </c>
      <c r="F27" s="7" t="s">
        <v>406</v>
      </c>
    </row>
    <row r="28" spans="1:6" ht="30" customHeight="1" x14ac:dyDescent="0.25">
      <c r="A28" s="7" t="s">
        <v>404</v>
      </c>
      <c r="B28" s="7" t="s">
        <v>423</v>
      </c>
      <c r="C28" s="11">
        <v>30</v>
      </c>
      <c r="D28" s="12">
        <v>45</v>
      </c>
      <c r="E28" s="12">
        <v>1350</v>
      </c>
      <c r="F28" s="7" t="s">
        <v>406</v>
      </c>
    </row>
    <row r="29" spans="1:6" ht="30" customHeight="1" x14ac:dyDescent="0.25">
      <c r="A29" s="7" t="s">
        <v>404</v>
      </c>
      <c r="B29" s="7" t="s">
        <v>424</v>
      </c>
      <c r="C29" s="11">
        <v>70</v>
      </c>
      <c r="D29" s="12">
        <v>45</v>
      </c>
      <c r="E29" s="12">
        <v>3150</v>
      </c>
      <c r="F29" s="7" t="s">
        <v>406</v>
      </c>
    </row>
    <row r="30" spans="1:6" ht="30" customHeight="1" x14ac:dyDescent="0.25">
      <c r="A30" s="7" t="s">
        <v>404</v>
      </c>
      <c r="B30" s="7" t="s">
        <v>425</v>
      </c>
      <c r="C30" s="11">
        <v>40</v>
      </c>
      <c r="D30" s="12">
        <v>45</v>
      </c>
      <c r="E30" s="12">
        <v>1800</v>
      </c>
      <c r="F30" s="7" t="s">
        <v>406</v>
      </c>
    </row>
    <row r="31" spans="1:6" ht="30" customHeight="1" x14ac:dyDescent="0.25">
      <c r="A31" s="7" t="s">
        <v>426</v>
      </c>
      <c r="B31" s="7" t="s">
        <v>427</v>
      </c>
      <c r="C31" s="11">
        <v>60</v>
      </c>
      <c r="D31" s="12">
        <v>45</v>
      </c>
      <c r="E31" s="12">
        <v>2700</v>
      </c>
      <c r="F31" s="7" t="s">
        <v>428</v>
      </c>
    </row>
    <row r="32" spans="1:6" ht="30" customHeight="1" x14ac:dyDescent="0.25">
      <c r="A32" s="7" t="s">
        <v>426</v>
      </c>
      <c r="B32" s="7" t="s">
        <v>429</v>
      </c>
      <c r="C32" s="11">
        <v>40</v>
      </c>
      <c r="D32" s="12">
        <v>45</v>
      </c>
      <c r="E32" s="12">
        <v>1800</v>
      </c>
      <c r="F32" s="7" t="s">
        <v>428</v>
      </c>
    </row>
    <row r="33" spans="1:6" ht="30" customHeight="1" x14ac:dyDescent="0.25">
      <c r="A33" s="7" t="s">
        <v>426</v>
      </c>
      <c r="B33" s="7" t="s">
        <v>430</v>
      </c>
      <c r="C33" s="11">
        <v>10</v>
      </c>
      <c r="D33" s="12">
        <v>45</v>
      </c>
      <c r="E33" s="12">
        <v>450</v>
      </c>
      <c r="F33" s="7" t="s">
        <v>428</v>
      </c>
    </row>
    <row r="34" spans="1:6" ht="30" customHeight="1" x14ac:dyDescent="0.25">
      <c r="A34" s="7" t="s">
        <v>426</v>
      </c>
      <c r="B34" s="7" t="s">
        <v>431</v>
      </c>
      <c r="C34" s="11">
        <v>24</v>
      </c>
      <c r="D34" s="12">
        <v>45</v>
      </c>
      <c r="E34" s="12">
        <v>1080</v>
      </c>
      <c r="F34" s="7" t="s">
        <v>428</v>
      </c>
    </row>
    <row r="35" spans="1:6" ht="30" customHeight="1" x14ac:dyDescent="0.25">
      <c r="A35" s="7" t="s">
        <v>426</v>
      </c>
      <c r="B35" s="7" t="s">
        <v>432</v>
      </c>
      <c r="C35" s="11">
        <v>16</v>
      </c>
      <c r="D35" s="12">
        <v>45</v>
      </c>
      <c r="E35" s="12">
        <v>720</v>
      </c>
      <c r="F35" s="7" t="s">
        <v>428</v>
      </c>
    </row>
    <row r="37" spans="1:6" ht="30" x14ac:dyDescent="0.25">
      <c r="A37" s="13" t="s">
        <v>433</v>
      </c>
      <c r="B37" s="13"/>
      <c r="C37" s="14">
        <v>1120</v>
      </c>
      <c r="D37" s="15">
        <v>45</v>
      </c>
      <c r="E37" s="15">
        <v>50400</v>
      </c>
      <c r="F37" s="13" t="s">
        <v>434</v>
      </c>
    </row>
    <row r="38" spans="1:6" ht="75" x14ac:dyDescent="0.25">
      <c r="A38" s="13" t="s">
        <v>435</v>
      </c>
      <c r="B38" s="13"/>
      <c r="C38" s="14">
        <v>150</v>
      </c>
      <c r="D38" s="15">
        <v>45</v>
      </c>
      <c r="E38" s="15">
        <v>6750</v>
      </c>
      <c r="F38" s="13" t="s">
        <v>436</v>
      </c>
    </row>
    <row r="39" spans="1:6" ht="45" x14ac:dyDescent="0.25">
      <c r="A39" s="16" t="s">
        <v>437</v>
      </c>
      <c r="B39" s="16"/>
      <c r="C39" s="17">
        <v>1270</v>
      </c>
      <c r="D39" s="18">
        <v>45</v>
      </c>
      <c r="E39" s="18">
        <v>57150</v>
      </c>
      <c r="F39" s="16" t="s">
        <v>438</v>
      </c>
    </row>
  </sheetData>
  <mergeCells count="3">
    <mergeCell ref="A1:H1"/>
    <mergeCell ref="A2:H2"/>
    <mergeCell ref="A10:F10"/>
  </mergeCells>
  <conditionalFormatting sqref="C5:C100">
    <cfRule type="expression" dxfId="35" priority="1">
      <formula>C5="Pendiente"</formula>
    </cfRule>
    <cfRule type="expression" dxfId="34" priority="2">
      <formula>C5="En curso"</formula>
    </cfRule>
    <cfRule type="expression" dxfId="33" priority="3">
      <formula>C5="Bloqueado"</formula>
    </cfRule>
    <cfRule type="expression" dxfId="32" priority="4">
      <formula>C5="Por validar"</formula>
    </cfRule>
    <cfRule type="expression" dxfId="31" priority="5">
      <formula>C5="Resuelto"</formula>
    </cfRule>
    <cfRule type="expression" dxfId="30" priority="6">
      <formula>C5="Descartado"</formula>
    </cfRule>
  </conditionalFormatting>
  <dataValidations count="1">
    <dataValidation type="list" allowBlank="1" errorTitle="Estado no válido" error="Selecciona un estado de la lista." promptTitle="Estado" prompt="Selecciona el estado actual de la incidencia." sqref="C5:C100" xr:uid="{00000000-0002-0000-1500-000000000000}">
      <formula1>"Pendiente,En curso,Bloqueado,Por validar,Resuelto,Descartado"</formula1>
    </dataValidation>
  </dataValidations>
  <hyperlinks>
    <hyperlink ref="J1" location="'Indice'!A1" display="↩ Índice" xr:uid="{00000000-0004-0000-1500-000000000000}"/>
  </hyperlinks>
  <pageMargins left="0.7" right="0.7" top="0.75" bottom="0.75" header="0.3" footer="0.3"/>
  <tableParts count="2">
    <tablePart r:id="rId1"/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1F4E78"/>
  </sheetPr>
  <dimension ref="A1:J16"/>
  <sheetViews>
    <sheetView showGridLines="0"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1" width="42" customWidth="1"/>
    <col min="2" max="2" width="18" customWidth="1"/>
    <col min="3" max="3" width="24" customWidth="1"/>
    <col min="4" max="4" width="80" customWidth="1"/>
    <col min="10" max="10" width="12" customWidth="1"/>
  </cols>
  <sheetData>
    <row r="1" spans="1:10" ht="32.1" customHeight="1" x14ac:dyDescent="0.25">
      <c r="A1" s="39" t="s">
        <v>439</v>
      </c>
      <c r="B1" s="38"/>
      <c r="C1" s="38"/>
      <c r="D1" s="38"/>
      <c r="E1" s="38"/>
      <c r="F1" s="38"/>
      <c r="G1" s="38"/>
      <c r="H1" s="38"/>
      <c r="J1" s="9" t="s">
        <v>96</v>
      </c>
    </row>
    <row r="2" spans="1:10" ht="27.95" customHeight="1" x14ac:dyDescent="0.25">
      <c r="A2" s="37" t="s">
        <v>440</v>
      </c>
      <c r="B2" s="38"/>
      <c r="C2" s="38"/>
      <c r="D2" s="38"/>
      <c r="E2" s="38"/>
      <c r="F2" s="38"/>
      <c r="G2" s="38"/>
      <c r="H2" s="38"/>
    </row>
    <row r="4" spans="1:10" ht="30" customHeight="1" x14ac:dyDescent="0.25">
      <c r="A4" s="1" t="s">
        <v>82</v>
      </c>
      <c r="B4" s="1" t="s">
        <v>83</v>
      </c>
      <c r="C4" s="1" t="s">
        <v>441</v>
      </c>
      <c r="D4" s="1" t="s">
        <v>442</v>
      </c>
    </row>
    <row r="5" spans="1:10" ht="33.950000000000003" customHeight="1" x14ac:dyDescent="0.25">
      <c r="A5" s="7" t="s">
        <v>91</v>
      </c>
      <c r="B5" s="8">
        <v>72</v>
      </c>
      <c r="C5" s="7" t="s">
        <v>443</v>
      </c>
      <c r="D5" s="7" t="s">
        <v>444</v>
      </c>
    </row>
    <row r="6" spans="1:10" ht="33.950000000000003" customHeight="1" x14ac:dyDescent="0.25">
      <c r="A6" s="7" t="s">
        <v>445</v>
      </c>
      <c r="B6" s="8">
        <v>0.7</v>
      </c>
      <c r="C6" s="7" t="s">
        <v>446</v>
      </c>
      <c r="D6" s="7" t="s">
        <v>447</v>
      </c>
    </row>
    <row r="7" spans="1:10" ht="33.950000000000003" customHeight="1" x14ac:dyDescent="0.25">
      <c r="A7" s="7" t="s">
        <v>448</v>
      </c>
      <c r="B7" s="8">
        <v>2.94</v>
      </c>
      <c r="C7" s="7" t="s">
        <v>446</v>
      </c>
      <c r="D7" s="7" t="s">
        <v>449</v>
      </c>
    </row>
    <row r="8" spans="1:10" ht="33.950000000000003" customHeight="1" x14ac:dyDescent="0.25">
      <c r="A8" s="7" t="s">
        <v>450</v>
      </c>
      <c r="B8" s="8">
        <v>8.58</v>
      </c>
      <c r="C8" s="7" t="s">
        <v>446</v>
      </c>
      <c r="D8" s="7" t="s">
        <v>451</v>
      </c>
    </row>
    <row r="9" spans="1:10" ht="33.950000000000003" customHeight="1" x14ac:dyDescent="0.25">
      <c r="A9" s="7" t="s">
        <v>452</v>
      </c>
      <c r="B9" s="8">
        <v>1.18</v>
      </c>
      <c r="C9" s="7" t="s">
        <v>446</v>
      </c>
      <c r="D9" s="7" t="s">
        <v>453</v>
      </c>
    </row>
    <row r="10" spans="1:10" ht="33.950000000000003" customHeight="1" x14ac:dyDescent="0.25">
      <c r="A10" s="7" t="s">
        <v>454</v>
      </c>
      <c r="B10" s="8">
        <v>9.42</v>
      </c>
      <c r="C10" s="7" t="s">
        <v>446</v>
      </c>
      <c r="D10" s="7" t="s">
        <v>455</v>
      </c>
    </row>
    <row r="11" spans="1:10" ht="33.950000000000003" customHeight="1" x14ac:dyDescent="0.25">
      <c r="A11" s="7" t="s">
        <v>456</v>
      </c>
      <c r="B11" s="8">
        <v>72.7</v>
      </c>
      <c r="C11" s="7" t="s">
        <v>443</v>
      </c>
      <c r="D11" s="7" t="s">
        <v>457</v>
      </c>
    </row>
    <row r="12" spans="1:10" ht="33.950000000000003" customHeight="1" x14ac:dyDescent="0.25">
      <c r="A12" s="7" t="s">
        <v>458</v>
      </c>
      <c r="B12" s="8">
        <v>90</v>
      </c>
      <c r="C12" s="7" t="s">
        <v>443</v>
      </c>
      <c r="D12" s="7" t="s">
        <v>459</v>
      </c>
    </row>
    <row r="13" spans="1:10" ht="33.950000000000003" customHeight="1" x14ac:dyDescent="0.25">
      <c r="A13" s="7" t="s">
        <v>460</v>
      </c>
      <c r="B13" s="8">
        <v>97.28</v>
      </c>
      <c r="C13" s="7" t="s">
        <v>443</v>
      </c>
      <c r="D13" s="7" t="s">
        <v>461</v>
      </c>
    </row>
    <row r="14" spans="1:10" ht="33.950000000000003" customHeight="1" x14ac:dyDescent="0.25">
      <c r="A14" s="7" t="s">
        <v>462</v>
      </c>
      <c r="B14" s="8">
        <v>122.56</v>
      </c>
      <c r="C14" s="7" t="s">
        <v>443</v>
      </c>
      <c r="D14" s="7" t="s">
        <v>463</v>
      </c>
    </row>
    <row r="15" spans="1:10" ht="33.950000000000003" customHeight="1" x14ac:dyDescent="0.25">
      <c r="A15" s="7" t="s">
        <v>464</v>
      </c>
      <c r="B15" s="8">
        <v>64.900000000000006</v>
      </c>
      <c r="C15" s="7" t="s">
        <v>443</v>
      </c>
      <c r="D15" s="7" t="s">
        <v>465</v>
      </c>
    </row>
    <row r="16" spans="1:10" ht="33.950000000000003" customHeight="1" x14ac:dyDescent="0.25">
      <c r="A16" s="7" t="s">
        <v>466</v>
      </c>
      <c r="B16" s="8">
        <v>11</v>
      </c>
      <c r="C16" s="7" t="s">
        <v>467</v>
      </c>
      <c r="D16" s="7" t="s">
        <v>468</v>
      </c>
    </row>
  </sheetData>
  <mergeCells count="2">
    <mergeCell ref="A2:H2"/>
    <mergeCell ref="A1:H1"/>
  </mergeCells>
  <hyperlinks>
    <hyperlink ref="J1" location="'Indice'!A1" display="↩ Índice" xr:uid="{00000000-0004-0000-1600-000000000000}"/>
  </hyperlinks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200"/>
  <sheetViews>
    <sheetView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1" width="18" customWidth="1"/>
    <col min="2" max="2" width="55" customWidth="1"/>
    <col min="3" max="3" width="18" customWidth="1"/>
    <col min="4" max="4" width="14" customWidth="1"/>
    <col min="5" max="5" width="20" customWidth="1"/>
    <col min="6" max="6" width="16" customWidth="1"/>
    <col min="7" max="7" width="72" customWidth="1"/>
    <col min="8" max="8" width="16" customWidth="1"/>
    <col min="9" max="9" width="3" customWidth="1"/>
    <col min="10" max="10" width="12" customWidth="1"/>
  </cols>
  <sheetData>
    <row r="1" spans="1:10" ht="30" customHeight="1" x14ac:dyDescent="0.25">
      <c r="A1" s="55" t="s">
        <v>54</v>
      </c>
      <c r="B1" s="55"/>
      <c r="C1" s="55"/>
      <c r="D1" s="55"/>
      <c r="E1" s="55"/>
      <c r="F1" s="55"/>
      <c r="G1" s="55"/>
      <c r="H1" s="55"/>
      <c r="J1" s="29" t="s">
        <v>96</v>
      </c>
    </row>
    <row r="2" spans="1:10" ht="30" customHeight="1" x14ac:dyDescent="0.25">
      <c r="A2" s="37" t="s">
        <v>469</v>
      </c>
      <c r="B2" s="37"/>
      <c r="C2" s="37"/>
      <c r="D2" s="37"/>
      <c r="E2" s="37"/>
      <c r="F2" s="37"/>
      <c r="G2" s="37"/>
      <c r="H2" s="37"/>
    </row>
    <row r="4" spans="1:10" ht="30" customHeight="1" x14ac:dyDescent="0.25">
      <c r="A4" s="34" t="s">
        <v>149</v>
      </c>
      <c r="B4" s="34" t="s">
        <v>150</v>
      </c>
      <c r="C4" s="34" t="s">
        <v>68</v>
      </c>
      <c r="D4" s="34" t="s">
        <v>151</v>
      </c>
      <c r="E4" s="34" t="s">
        <v>152</v>
      </c>
      <c r="F4" s="34" t="s">
        <v>153</v>
      </c>
      <c r="G4" s="34" t="s">
        <v>154</v>
      </c>
      <c r="H4" s="34" t="s">
        <v>155</v>
      </c>
      <c r="I4" s="22"/>
      <c r="J4" s="22"/>
    </row>
    <row r="5" spans="1:10" ht="26.45" customHeight="1" x14ac:dyDescent="0.25">
      <c r="A5" s="35" t="s">
        <v>470</v>
      </c>
      <c r="B5" s="35" t="s">
        <v>471</v>
      </c>
      <c r="C5" s="35" t="s">
        <v>75</v>
      </c>
      <c r="D5" s="35" t="s">
        <v>158</v>
      </c>
      <c r="E5" s="35" t="s">
        <v>472</v>
      </c>
      <c r="F5" s="35">
        <v>5</v>
      </c>
      <c r="G5" s="35" t="s">
        <v>473</v>
      </c>
      <c r="H5" s="35"/>
      <c r="I5" s="28"/>
      <c r="J5" s="28"/>
    </row>
    <row r="6" spans="1:10" ht="26.45" customHeight="1" x14ac:dyDescent="0.25">
      <c r="A6" s="36" t="s">
        <v>474</v>
      </c>
      <c r="B6" s="36" t="s">
        <v>475</v>
      </c>
      <c r="C6" s="36" t="s">
        <v>75</v>
      </c>
      <c r="D6" s="36" t="s">
        <v>158</v>
      </c>
      <c r="E6" s="36" t="s">
        <v>476</v>
      </c>
      <c r="F6" s="36">
        <v>4</v>
      </c>
      <c r="G6" s="36" t="s">
        <v>477</v>
      </c>
      <c r="H6" s="36"/>
      <c r="I6" s="28"/>
      <c r="J6" s="28"/>
    </row>
    <row r="7" spans="1:10" ht="26.45" customHeight="1" x14ac:dyDescent="0.25">
      <c r="A7" s="35" t="s">
        <v>478</v>
      </c>
      <c r="B7" s="35" t="s">
        <v>479</v>
      </c>
      <c r="C7" s="35" t="s">
        <v>75</v>
      </c>
      <c r="D7" s="35" t="s">
        <v>158</v>
      </c>
      <c r="E7" s="35" t="s">
        <v>480</v>
      </c>
      <c r="F7" s="35">
        <v>6</v>
      </c>
      <c r="G7" s="35" t="s">
        <v>481</v>
      </c>
      <c r="H7" s="35"/>
      <c r="I7" s="28"/>
      <c r="J7" s="28"/>
    </row>
    <row r="8" spans="1:10" ht="26.45" customHeight="1" x14ac:dyDescent="0.25">
      <c r="A8" s="36" t="s">
        <v>482</v>
      </c>
      <c r="B8" s="36" t="s">
        <v>483</v>
      </c>
      <c r="C8" s="36" t="s">
        <v>75</v>
      </c>
      <c r="D8" s="36" t="s">
        <v>163</v>
      </c>
      <c r="E8" s="36" t="s">
        <v>472</v>
      </c>
      <c r="F8" s="36">
        <v>5</v>
      </c>
      <c r="G8" s="36" t="s">
        <v>484</v>
      </c>
      <c r="H8" s="36"/>
      <c r="I8" s="28"/>
      <c r="J8" s="28"/>
    </row>
    <row r="9" spans="1:10" ht="26.45" customHeight="1" x14ac:dyDescent="0.25">
      <c r="A9" s="35" t="s">
        <v>485</v>
      </c>
      <c r="B9" s="35" t="s">
        <v>486</v>
      </c>
      <c r="C9" s="35" t="s">
        <v>72</v>
      </c>
      <c r="D9" s="35" t="s">
        <v>163</v>
      </c>
      <c r="E9" s="35" t="s">
        <v>487</v>
      </c>
      <c r="F9" s="35">
        <v>5</v>
      </c>
      <c r="G9" s="35" t="s">
        <v>488</v>
      </c>
      <c r="H9" s="35"/>
      <c r="I9" s="28"/>
      <c r="J9" s="28"/>
    </row>
    <row r="10" spans="1:10" ht="26.45" customHeight="1" x14ac:dyDescent="0.25">
      <c r="A10" s="30" t="s">
        <v>489</v>
      </c>
      <c r="B10" s="30" t="s">
        <v>490</v>
      </c>
      <c r="C10" s="30" t="s">
        <v>75</v>
      </c>
      <c r="D10" s="30" t="s">
        <v>158</v>
      </c>
      <c r="E10" s="30" t="s">
        <v>491</v>
      </c>
      <c r="F10" s="30">
        <v>4</v>
      </c>
      <c r="G10" s="30" t="s">
        <v>492</v>
      </c>
      <c r="H10" s="30"/>
      <c r="I10" s="28"/>
      <c r="J10" s="28"/>
    </row>
    <row r="11" spans="1:10" x14ac:dyDescent="0.25">
      <c r="B11" s="22"/>
      <c r="G11" s="22"/>
    </row>
    <row r="12" spans="1:10" x14ac:dyDescent="0.25">
      <c r="B12" s="22"/>
      <c r="G12" s="22"/>
    </row>
    <row r="13" spans="1:10" x14ac:dyDescent="0.25">
      <c r="B13" s="22"/>
      <c r="G13" s="22"/>
    </row>
    <row r="14" spans="1:10" x14ac:dyDescent="0.25">
      <c r="B14" s="22"/>
      <c r="G14" s="22"/>
    </row>
    <row r="15" spans="1:10" x14ac:dyDescent="0.25">
      <c r="B15" s="22"/>
      <c r="G15" s="22"/>
    </row>
    <row r="16" spans="1:10" x14ac:dyDescent="0.25">
      <c r="B16" s="22"/>
      <c r="G16" s="22"/>
    </row>
    <row r="17" spans="2:7" x14ac:dyDescent="0.25">
      <c r="B17" s="22"/>
      <c r="G17" s="22"/>
    </row>
    <row r="18" spans="2:7" x14ac:dyDescent="0.25">
      <c r="B18" s="22"/>
      <c r="G18" s="22"/>
    </row>
    <row r="19" spans="2:7" x14ac:dyDescent="0.25">
      <c r="B19" s="22"/>
      <c r="G19" s="22"/>
    </row>
    <row r="20" spans="2:7" x14ac:dyDescent="0.25">
      <c r="B20" s="22"/>
      <c r="G20" s="22"/>
    </row>
    <row r="21" spans="2:7" x14ac:dyDescent="0.25">
      <c r="B21" s="22"/>
      <c r="G21" s="22"/>
    </row>
    <row r="22" spans="2:7" x14ac:dyDescent="0.25">
      <c r="B22" s="22"/>
      <c r="G22" s="22"/>
    </row>
    <row r="23" spans="2:7" x14ac:dyDescent="0.25">
      <c r="B23" s="22"/>
      <c r="G23" s="22"/>
    </row>
    <row r="24" spans="2:7" x14ac:dyDescent="0.25">
      <c r="B24" s="22"/>
      <c r="G24" s="22"/>
    </row>
    <row r="25" spans="2:7" x14ac:dyDescent="0.25">
      <c r="B25" s="22"/>
      <c r="G25" s="22"/>
    </row>
    <row r="26" spans="2:7" x14ac:dyDescent="0.25">
      <c r="B26" s="22"/>
      <c r="G26" s="22"/>
    </row>
    <row r="27" spans="2:7" x14ac:dyDescent="0.25">
      <c r="B27" s="22"/>
      <c r="G27" s="22"/>
    </row>
    <row r="28" spans="2:7" x14ac:dyDescent="0.25">
      <c r="B28" s="22"/>
      <c r="G28" s="22"/>
    </row>
    <row r="29" spans="2:7" x14ac:dyDescent="0.25">
      <c r="B29" s="22"/>
      <c r="G29" s="22"/>
    </row>
    <row r="30" spans="2:7" x14ac:dyDescent="0.25">
      <c r="B30" s="22"/>
      <c r="G30" s="22"/>
    </row>
    <row r="31" spans="2:7" x14ac:dyDescent="0.25">
      <c r="B31" s="22"/>
      <c r="G31" s="22"/>
    </row>
    <row r="32" spans="2:7" x14ac:dyDescent="0.25">
      <c r="B32" s="22"/>
      <c r="G32" s="22"/>
    </row>
    <row r="33" spans="2:7" x14ac:dyDescent="0.25">
      <c r="B33" s="22"/>
      <c r="G33" s="22"/>
    </row>
    <row r="34" spans="2:7" x14ac:dyDescent="0.25">
      <c r="B34" s="22"/>
      <c r="G34" s="22"/>
    </row>
    <row r="35" spans="2:7" x14ac:dyDescent="0.25">
      <c r="B35" s="22"/>
      <c r="G35" s="22"/>
    </row>
    <row r="36" spans="2:7" x14ac:dyDescent="0.25">
      <c r="B36" s="22"/>
      <c r="G36" s="22"/>
    </row>
    <row r="37" spans="2:7" x14ac:dyDescent="0.25">
      <c r="B37" s="22"/>
      <c r="G37" s="22"/>
    </row>
    <row r="38" spans="2:7" x14ac:dyDescent="0.25">
      <c r="B38" s="22"/>
      <c r="G38" s="22"/>
    </row>
    <row r="39" spans="2:7" x14ac:dyDescent="0.25">
      <c r="B39" s="22"/>
      <c r="G39" s="22"/>
    </row>
    <row r="40" spans="2:7" x14ac:dyDescent="0.25">
      <c r="B40" s="22"/>
      <c r="G40" s="22"/>
    </row>
    <row r="41" spans="2:7" x14ac:dyDescent="0.25">
      <c r="B41" s="22"/>
      <c r="G41" s="22"/>
    </row>
    <row r="42" spans="2:7" x14ac:dyDescent="0.25">
      <c r="B42" s="22"/>
      <c r="G42" s="22"/>
    </row>
    <row r="43" spans="2:7" x14ac:dyDescent="0.25">
      <c r="B43" s="22"/>
      <c r="G43" s="22"/>
    </row>
    <row r="44" spans="2:7" x14ac:dyDescent="0.25">
      <c r="B44" s="22"/>
      <c r="G44" s="22"/>
    </row>
    <row r="45" spans="2:7" x14ac:dyDescent="0.25">
      <c r="B45" s="22"/>
      <c r="G45" s="22"/>
    </row>
    <row r="46" spans="2:7" x14ac:dyDescent="0.25">
      <c r="B46" s="22"/>
      <c r="G46" s="22"/>
    </row>
    <row r="47" spans="2:7" x14ac:dyDescent="0.25">
      <c r="B47" s="22"/>
      <c r="G47" s="22"/>
    </row>
    <row r="48" spans="2:7" x14ac:dyDescent="0.25">
      <c r="B48" s="22"/>
      <c r="G48" s="22"/>
    </row>
    <row r="49" spans="2:7" x14ac:dyDescent="0.25">
      <c r="B49" s="22"/>
      <c r="G49" s="22"/>
    </row>
    <row r="50" spans="2:7" x14ac:dyDescent="0.25">
      <c r="B50" s="22"/>
      <c r="G50" s="22"/>
    </row>
    <row r="51" spans="2:7" x14ac:dyDescent="0.25">
      <c r="B51" s="22"/>
      <c r="G51" s="22"/>
    </row>
    <row r="52" spans="2:7" x14ac:dyDescent="0.25">
      <c r="B52" s="22"/>
      <c r="G52" s="22"/>
    </row>
    <row r="53" spans="2:7" x14ac:dyDescent="0.25">
      <c r="B53" s="22"/>
      <c r="G53" s="22"/>
    </row>
    <row r="54" spans="2:7" x14ac:dyDescent="0.25">
      <c r="B54" s="22"/>
      <c r="G54" s="22"/>
    </row>
    <row r="55" spans="2:7" x14ac:dyDescent="0.25">
      <c r="B55" s="22"/>
      <c r="G55" s="22"/>
    </row>
    <row r="56" spans="2:7" x14ac:dyDescent="0.25">
      <c r="B56" s="22"/>
      <c r="G56" s="22"/>
    </row>
    <row r="57" spans="2:7" x14ac:dyDescent="0.25">
      <c r="B57" s="22"/>
      <c r="G57" s="22"/>
    </row>
    <row r="58" spans="2:7" x14ac:dyDescent="0.25">
      <c r="B58" s="22"/>
      <c r="G58" s="22"/>
    </row>
    <row r="59" spans="2:7" x14ac:dyDescent="0.25">
      <c r="B59" s="22"/>
      <c r="G59" s="22"/>
    </row>
    <row r="60" spans="2:7" x14ac:dyDescent="0.25">
      <c r="B60" s="22"/>
      <c r="G60" s="22"/>
    </row>
    <row r="61" spans="2:7" x14ac:dyDescent="0.25">
      <c r="B61" s="22"/>
      <c r="G61" s="22"/>
    </row>
    <row r="62" spans="2:7" x14ac:dyDescent="0.25">
      <c r="B62" s="22"/>
      <c r="G62" s="22"/>
    </row>
    <row r="63" spans="2:7" x14ac:dyDescent="0.25">
      <c r="B63" s="22"/>
      <c r="G63" s="22"/>
    </row>
    <row r="64" spans="2:7" x14ac:dyDescent="0.25">
      <c r="B64" s="22"/>
      <c r="G64" s="22"/>
    </row>
    <row r="65" spans="2:7" x14ac:dyDescent="0.25">
      <c r="B65" s="22"/>
      <c r="G65" s="22"/>
    </row>
    <row r="66" spans="2:7" x14ac:dyDescent="0.25">
      <c r="B66" s="22"/>
      <c r="G66" s="22"/>
    </row>
    <row r="67" spans="2:7" x14ac:dyDescent="0.25">
      <c r="B67" s="22"/>
      <c r="G67" s="22"/>
    </row>
    <row r="68" spans="2:7" x14ac:dyDescent="0.25">
      <c r="B68" s="22"/>
      <c r="G68" s="22"/>
    </row>
    <row r="69" spans="2:7" x14ac:dyDescent="0.25">
      <c r="B69" s="22"/>
      <c r="G69" s="22"/>
    </row>
    <row r="70" spans="2:7" x14ac:dyDescent="0.25">
      <c r="B70" s="22"/>
      <c r="G70" s="22"/>
    </row>
    <row r="71" spans="2:7" x14ac:dyDescent="0.25">
      <c r="B71" s="22"/>
      <c r="G71" s="22"/>
    </row>
    <row r="72" spans="2:7" x14ac:dyDescent="0.25">
      <c r="B72" s="22"/>
      <c r="G72" s="22"/>
    </row>
    <row r="73" spans="2:7" x14ac:dyDescent="0.25">
      <c r="B73" s="22"/>
      <c r="G73" s="22"/>
    </row>
    <row r="74" spans="2:7" x14ac:dyDescent="0.25">
      <c r="B74" s="22"/>
      <c r="G74" s="22"/>
    </row>
    <row r="75" spans="2:7" x14ac:dyDescent="0.25">
      <c r="B75" s="22"/>
      <c r="G75" s="22"/>
    </row>
    <row r="76" spans="2:7" x14ac:dyDescent="0.25">
      <c r="B76" s="22"/>
      <c r="G76" s="22"/>
    </row>
    <row r="77" spans="2:7" x14ac:dyDescent="0.25">
      <c r="B77" s="22"/>
      <c r="G77" s="22"/>
    </row>
    <row r="78" spans="2:7" x14ac:dyDescent="0.25">
      <c r="B78" s="22"/>
      <c r="G78" s="22"/>
    </row>
    <row r="79" spans="2:7" x14ac:dyDescent="0.25">
      <c r="B79" s="22"/>
      <c r="G79" s="22"/>
    </row>
    <row r="80" spans="2:7" x14ac:dyDescent="0.25">
      <c r="B80" s="22"/>
      <c r="G80" s="22"/>
    </row>
    <row r="81" spans="2:7" x14ac:dyDescent="0.25">
      <c r="B81" s="22"/>
      <c r="G81" s="22"/>
    </row>
    <row r="82" spans="2:7" x14ac:dyDescent="0.25">
      <c r="B82" s="22"/>
      <c r="G82" s="22"/>
    </row>
    <row r="83" spans="2:7" x14ac:dyDescent="0.25">
      <c r="B83" s="22"/>
      <c r="G83" s="22"/>
    </row>
    <row r="84" spans="2:7" x14ac:dyDescent="0.25">
      <c r="B84" s="22"/>
      <c r="G84" s="22"/>
    </row>
    <row r="85" spans="2:7" x14ac:dyDescent="0.25">
      <c r="B85" s="22"/>
      <c r="G85" s="22"/>
    </row>
    <row r="86" spans="2:7" x14ac:dyDescent="0.25">
      <c r="B86" s="22"/>
      <c r="G86" s="22"/>
    </row>
    <row r="87" spans="2:7" x14ac:dyDescent="0.25">
      <c r="B87" s="22"/>
      <c r="G87" s="22"/>
    </row>
    <row r="88" spans="2:7" x14ac:dyDescent="0.25">
      <c r="B88" s="22"/>
      <c r="G88" s="22"/>
    </row>
    <row r="89" spans="2:7" x14ac:dyDescent="0.25">
      <c r="B89" s="22"/>
      <c r="G89" s="22"/>
    </row>
    <row r="90" spans="2:7" x14ac:dyDescent="0.25">
      <c r="B90" s="22"/>
      <c r="G90" s="22"/>
    </row>
    <row r="91" spans="2:7" x14ac:dyDescent="0.25">
      <c r="B91" s="22"/>
      <c r="G91" s="22"/>
    </row>
    <row r="92" spans="2:7" x14ac:dyDescent="0.25">
      <c r="B92" s="22"/>
      <c r="G92" s="22"/>
    </row>
    <row r="93" spans="2:7" x14ac:dyDescent="0.25">
      <c r="B93" s="22"/>
      <c r="G93" s="22"/>
    </row>
    <row r="94" spans="2:7" x14ac:dyDescent="0.25">
      <c r="B94" s="22"/>
      <c r="G94" s="22"/>
    </row>
    <row r="95" spans="2:7" x14ac:dyDescent="0.25">
      <c r="B95" s="22"/>
      <c r="G95" s="22"/>
    </row>
    <row r="96" spans="2:7" x14ac:dyDescent="0.25">
      <c r="B96" s="22"/>
      <c r="G96" s="22"/>
    </row>
    <row r="97" spans="2:7" x14ac:dyDescent="0.25">
      <c r="B97" s="22"/>
      <c r="G97" s="22"/>
    </row>
    <row r="98" spans="2:7" x14ac:dyDescent="0.25">
      <c r="B98" s="22"/>
      <c r="G98" s="22"/>
    </row>
    <row r="99" spans="2:7" x14ac:dyDescent="0.25">
      <c r="B99" s="22"/>
      <c r="G99" s="22"/>
    </row>
    <row r="100" spans="2:7" x14ac:dyDescent="0.25">
      <c r="B100" s="22"/>
      <c r="G100" s="22"/>
    </row>
    <row r="101" spans="2:7" x14ac:dyDescent="0.25">
      <c r="B101" s="22"/>
      <c r="G101" s="22"/>
    </row>
    <row r="102" spans="2:7" x14ac:dyDescent="0.25">
      <c r="B102" s="22"/>
      <c r="G102" s="22"/>
    </row>
    <row r="103" spans="2:7" x14ac:dyDescent="0.25">
      <c r="B103" s="22"/>
      <c r="G103" s="22"/>
    </row>
    <row r="104" spans="2:7" x14ac:dyDescent="0.25">
      <c r="B104" s="22"/>
      <c r="G104" s="22"/>
    </row>
    <row r="105" spans="2:7" x14ac:dyDescent="0.25">
      <c r="B105" s="22"/>
      <c r="G105" s="22"/>
    </row>
    <row r="106" spans="2:7" x14ac:dyDescent="0.25">
      <c r="B106" s="22"/>
      <c r="G106" s="22"/>
    </row>
    <row r="107" spans="2:7" x14ac:dyDescent="0.25">
      <c r="B107" s="22"/>
      <c r="G107" s="22"/>
    </row>
    <row r="108" spans="2:7" x14ac:dyDescent="0.25">
      <c r="B108" s="22"/>
      <c r="G108" s="22"/>
    </row>
    <row r="109" spans="2:7" x14ac:dyDescent="0.25">
      <c r="B109" s="22"/>
      <c r="G109" s="22"/>
    </row>
    <row r="110" spans="2:7" x14ac:dyDescent="0.25">
      <c r="B110" s="22"/>
      <c r="G110" s="22"/>
    </row>
    <row r="111" spans="2:7" x14ac:dyDescent="0.25">
      <c r="B111" s="22"/>
      <c r="G111" s="22"/>
    </row>
    <row r="112" spans="2:7" x14ac:dyDescent="0.25">
      <c r="B112" s="22"/>
      <c r="G112" s="22"/>
    </row>
    <row r="113" spans="2:7" x14ac:dyDescent="0.25">
      <c r="B113" s="22"/>
      <c r="G113" s="22"/>
    </row>
    <row r="114" spans="2:7" x14ac:dyDescent="0.25">
      <c r="B114" s="22"/>
      <c r="G114" s="22"/>
    </row>
    <row r="115" spans="2:7" x14ac:dyDescent="0.25">
      <c r="B115" s="22"/>
      <c r="G115" s="22"/>
    </row>
    <row r="116" spans="2:7" x14ac:dyDescent="0.25">
      <c r="B116" s="22"/>
      <c r="G116" s="22"/>
    </row>
    <row r="117" spans="2:7" x14ac:dyDescent="0.25">
      <c r="B117" s="22"/>
      <c r="G117" s="22"/>
    </row>
    <row r="118" spans="2:7" x14ac:dyDescent="0.25">
      <c r="B118" s="22"/>
      <c r="G118" s="22"/>
    </row>
    <row r="119" spans="2:7" x14ac:dyDescent="0.25">
      <c r="B119" s="22"/>
      <c r="G119" s="22"/>
    </row>
    <row r="120" spans="2:7" x14ac:dyDescent="0.25">
      <c r="B120" s="22"/>
      <c r="G120" s="22"/>
    </row>
    <row r="121" spans="2:7" x14ac:dyDescent="0.25">
      <c r="B121" s="22"/>
      <c r="G121" s="22"/>
    </row>
    <row r="122" spans="2:7" x14ac:dyDescent="0.25">
      <c r="B122" s="22"/>
      <c r="G122" s="22"/>
    </row>
    <row r="123" spans="2:7" x14ac:dyDescent="0.25">
      <c r="B123" s="22"/>
      <c r="G123" s="22"/>
    </row>
    <row r="124" spans="2:7" x14ac:dyDescent="0.25">
      <c r="B124" s="22"/>
      <c r="G124" s="22"/>
    </row>
    <row r="125" spans="2:7" x14ac:dyDescent="0.25">
      <c r="B125" s="22"/>
      <c r="G125" s="22"/>
    </row>
    <row r="126" spans="2:7" x14ac:dyDescent="0.25">
      <c r="B126" s="22"/>
      <c r="G126" s="22"/>
    </row>
    <row r="127" spans="2:7" x14ac:dyDescent="0.25">
      <c r="B127" s="22"/>
      <c r="G127" s="22"/>
    </row>
    <row r="128" spans="2:7" x14ac:dyDescent="0.25">
      <c r="B128" s="22"/>
      <c r="G128" s="22"/>
    </row>
    <row r="129" spans="2:7" x14ac:dyDescent="0.25">
      <c r="B129" s="22"/>
      <c r="G129" s="22"/>
    </row>
    <row r="130" spans="2:7" x14ac:dyDescent="0.25">
      <c r="B130" s="22"/>
      <c r="G130" s="22"/>
    </row>
    <row r="131" spans="2:7" x14ac:dyDescent="0.25">
      <c r="B131" s="22"/>
      <c r="G131" s="22"/>
    </row>
    <row r="132" spans="2:7" x14ac:dyDescent="0.25">
      <c r="B132" s="22"/>
      <c r="G132" s="22"/>
    </row>
    <row r="133" spans="2:7" x14ac:dyDescent="0.25">
      <c r="B133" s="22"/>
      <c r="G133" s="22"/>
    </row>
    <row r="134" spans="2:7" x14ac:dyDescent="0.25">
      <c r="B134" s="22"/>
      <c r="G134" s="22"/>
    </row>
    <row r="135" spans="2:7" x14ac:dyDescent="0.25">
      <c r="B135" s="22"/>
      <c r="G135" s="22"/>
    </row>
    <row r="136" spans="2:7" x14ac:dyDescent="0.25">
      <c r="B136" s="22"/>
      <c r="G136" s="22"/>
    </row>
    <row r="137" spans="2:7" x14ac:dyDescent="0.25">
      <c r="B137" s="22"/>
      <c r="G137" s="22"/>
    </row>
    <row r="138" spans="2:7" x14ac:dyDescent="0.25">
      <c r="B138" s="22"/>
      <c r="G138" s="22"/>
    </row>
    <row r="139" spans="2:7" x14ac:dyDescent="0.25">
      <c r="B139" s="22"/>
      <c r="G139" s="22"/>
    </row>
    <row r="140" spans="2:7" x14ac:dyDescent="0.25">
      <c r="B140" s="22"/>
      <c r="G140" s="22"/>
    </row>
    <row r="141" spans="2:7" x14ac:dyDescent="0.25">
      <c r="B141" s="22"/>
      <c r="G141" s="22"/>
    </row>
    <row r="142" spans="2:7" x14ac:dyDescent="0.25">
      <c r="B142" s="22"/>
      <c r="G142" s="22"/>
    </row>
    <row r="143" spans="2:7" x14ac:dyDescent="0.25">
      <c r="B143" s="22"/>
      <c r="G143" s="22"/>
    </row>
    <row r="144" spans="2:7" x14ac:dyDescent="0.25">
      <c r="B144" s="22"/>
      <c r="G144" s="22"/>
    </row>
    <row r="145" spans="2:7" x14ac:dyDescent="0.25">
      <c r="B145" s="22"/>
      <c r="G145" s="22"/>
    </row>
    <row r="146" spans="2:7" x14ac:dyDescent="0.25">
      <c r="B146" s="22"/>
      <c r="G146" s="22"/>
    </row>
    <row r="147" spans="2:7" x14ac:dyDescent="0.25">
      <c r="B147" s="22"/>
      <c r="G147" s="22"/>
    </row>
    <row r="148" spans="2:7" x14ac:dyDescent="0.25">
      <c r="B148" s="22"/>
      <c r="G148" s="22"/>
    </row>
    <row r="149" spans="2:7" x14ac:dyDescent="0.25">
      <c r="B149" s="22"/>
      <c r="G149" s="22"/>
    </row>
    <row r="150" spans="2:7" x14ac:dyDescent="0.25">
      <c r="B150" s="22"/>
      <c r="G150" s="22"/>
    </row>
    <row r="151" spans="2:7" x14ac:dyDescent="0.25">
      <c r="B151" s="22"/>
      <c r="G151" s="22"/>
    </row>
    <row r="152" spans="2:7" x14ac:dyDescent="0.25">
      <c r="B152" s="22"/>
      <c r="G152" s="22"/>
    </row>
    <row r="153" spans="2:7" x14ac:dyDescent="0.25">
      <c r="B153" s="22"/>
      <c r="G153" s="22"/>
    </row>
    <row r="154" spans="2:7" x14ac:dyDescent="0.25">
      <c r="B154" s="22"/>
      <c r="G154" s="22"/>
    </row>
    <row r="155" spans="2:7" x14ac:dyDescent="0.25">
      <c r="B155" s="22"/>
      <c r="G155" s="22"/>
    </row>
    <row r="156" spans="2:7" x14ac:dyDescent="0.25">
      <c r="B156" s="22"/>
      <c r="G156" s="22"/>
    </row>
    <row r="157" spans="2:7" x14ac:dyDescent="0.25">
      <c r="B157" s="22"/>
      <c r="G157" s="22"/>
    </row>
    <row r="158" spans="2:7" x14ac:dyDescent="0.25">
      <c r="B158" s="22"/>
      <c r="G158" s="22"/>
    </row>
    <row r="159" spans="2:7" x14ac:dyDescent="0.25">
      <c r="B159" s="22"/>
      <c r="G159" s="22"/>
    </row>
    <row r="160" spans="2:7" x14ac:dyDescent="0.25">
      <c r="B160" s="22"/>
      <c r="G160" s="22"/>
    </row>
    <row r="161" spans="2:7" x14ac:dyDescent="0.25">
      <c r="B161" s="22"/>
      <c r="G161" s="22"/>
    </row>
    <row r="162" spans="2:7" x14ac:dyDescent="0.25">
      <c r="B162" s="22"/>
      <c r="G162" s="22"/>
    </row>
    <row r="163" spans="2:7" x14ac:dyDescent="0.25">
      <c r="B163" s="22"/>
      <c r="G163" s="22"/>
    </row>
    <row r="164" spans="2:7" x14ac:dyDescent="0.25">
      <c r="B164" s="22"/>
      <c r="G164" s="22"/>
    </row>
    <row r="165" spans="2:7" x14ac:dyDescent="0.25">
      <c r="B165" s="22"/>
      <c r="G165" s="22"/>
    </row>
    <row r="166" spans="2:7" x14ac:dyDescent="0.25">
      <c r="B166" s="22"/>
      <c r="G166" s="22"/>
    </row>
    <row r="167" spans="2:7" x14ac:dyDescent="0.25">
      <c r="B167" s="22"/>
      <c r="G167" s="22"/>
    </row>
    <row r="168" spans="2:7" x14ac:dyDescent="0.25">
      <c r="B168" s="22"/>
      <c r="G168" s="22"/>
    </row>
    <row r="169" spans="2:7" x14ac:dyDescent="0.25">
      <c r="B169" s="22"/>
      <c r="G169" s="22"/>
    </row>
    <row r="170" spans="2:7" x14ac:dyDescent="0.25">
      <c r="B170" s="22"/>
      <c r="G170" s="22"/>
    </row>
    <row r="171" spans="2:7" x14ac:dyDescent="0.25">
      <c r="B171" s="22"/>
      <c r="G171" s="22"/>
    </row>
    <row r="172" spans="2:7" x14ac:dyDescent="0.25">
      <c r="B172" s="22"/>
      <c r="G172" s="22"/>
    </row>
    <row r="173" spans="2:7" x14ac:dyDescent="0.25">
      <c r="B173" s="22"/>
      <c r="G173" s="22"/>
    </row>
    <row r="174" spans="2:7" x14ac:dyDescent="0.25">
      <c r="B174" s="22"/>
      <c r="G174" s="22"/>
    </row>
    <row r="175" spans="2:7" x14ac:dyDescent="0.25">
      <c r="B175" s="22"/>
      <c r="G175" s="22"/>
    </row>
    <row r="176" spans="2:7" x14ac:dyDescent="0.25">
      <c r="B176" s="22"/>
      <c r="G176" s="22"/>
    </row>
    <row r="177" spans="2:7" x14ac:dyDescent="0.25">
      <c r="B177" s="22"/>
      <c r="G177" s="22"/>
    </row>
    <row r="178" spans="2:7" x14ac:dyDescent="0.25">
      <c r="B178" s="22"/>
      <c r="G178" s="22"/>
    </row>
    <row r="179" spans="2:7" x14ac:dyDescent="0.25">
      <c r="B179" s="22"/>
      <c r="G179" s="22"/>
    </row>
    <row r="180" spans="2:7" x14ac:dyDescent="0.25">
      <c r="B180" s="22"/>
      <c r="G180" s="22"/>
    </row>
    <row r="181" spans="2:7" x14ac:dyDescent="0.25">
      <c r="B181" s="22"/>
      <c r="G181" s="22"/>
    </row>
    <row r="182" spans="2:7" x14ac:dyDescent="0.25">
      <c r="B182" s="22"/>
      <c r="G182" s="22"/>
    </row>
    <row r="183" spans="2:7" x14ac:dyDescent="0.25">
      <c r="B183" s="22"/>
      <c r="G183" s="22"/>
    </row>
    <row r="184" spans="2:7" x14ac:dyDescent="0.25">
      <c r="B184" s="22"/>
      <c r="G184" s="22"/>
    </row>
    <row r="185" spans="2:7" x14ac:dyDescent="0.25">
      <c r="B185" s="22"/>
      <c r="G185" s="22"/>
    </row>
    <row r="186" spans="2:7" x14ac:dyDescent="0.25">
      <c r="B186" s="22"/>
      <c r="G186" s="22"/>
    </row>
    <row r="187" spans="2:7" x14ac:dyDescent="0.25">
      <c r="B187" s="22"/>
      <c r="G187" s="22"/>
    </row>
    <row r="188" spans="2:7" x14ac:dyDescent="0.25">
      <c r="B188" s="22"/>
      <c r="G188" s="22"/>
    </row>
    <row r="189" spans="2:7" x14ac:dyDescent="0.25">
      <c r="B189" s="22"/>
      <c r="G189" s="22"/>
    </row>
    <row r="190" spans="2:7" x14ac:dyDescent="0.25">
      <c r="B190" s="22"/>
      <c r="G190" s="22"/>
    </row>
    <row r="191" spans="2:7" x14ac:dyDescent="0.25">
      <c r="B191" s="22"/>
      <c r="G191" s="22"/>
    </row>
    <row r="192" spans="2:7" x14ac:dyDescent="0.25">
      <c r="B192" s="22"/>
      <c r="G192" s="22"/>
    </row>
    <row r="193" spans="2:7" x14ac:dyDescent="0.25">
      <c r="B193" s="22"/>
      <c r="G193" s="22"/>
    </row>
    <row r="194" spans="2:7" x14ac:dyDescent="0.25">
      <c r="B194" s="22"/>
      <c r="G194" s="22"/>
    </row>
    <row r="195" spans="2:7" x14ac:dyDescent="0.25">
      <c r="B195" s="22"/>
      <c r="G195" s="22"/>
    </row>
    <row r="196" spans="2:7" x14ac:dyDescent="0.25">
      <c r="B196" s="22"/>
      <c r="G196" s="22"/>
    </row>
    <row r="197" spans="2:7" x14ac:dyDescent="0.25">
      <c r="B197" s="22"/>
      <c r="G197" s="22"/>
    </row>
    <row r="198" spans="2:7" x14ac:dyDescent="0.25">
      <c r="B198" s="22"/>
      <c r="G198" s="22"/>
    </row>
    <row r="199" spans="2:7" x14ac:dyDescent="0.25">
      <c r="B199" s="22"/>
      <c r="G199" s="22"/>
    </row>
    <row r="200" spans="2:7" x14ac:dyDescent="0.25">
      <c r="B200" s="22"/>
      <c r="G200" s="22"/>
    </row>
  </sheetData>
  <mergeCells count="2">
    <mergeCell ref="A1:H1"/>
    <mergeCell ref="A2:H2"/>
  </mergeCells>
  <conditionalFormatting sqref="C5:C10">
    <cfRule type="expression" dxfId="29" priority="1">
      <formula>C5="Pendiente"</formula>
    </cfRule>
    <cfRule type="expression" dxfId="28" priority="2">
      <formula>C5="En curso"</formula>
    </cfRule>
    <cfRule type="expression" dxfId="27" priority="3">
      <formula>C5="Bloqueado"</formula>
    </cfRule>
    <cfRule type="expression" dxfId="26" priority="4">
      <formula>C5="Por validar"</formula>
    </cfRule>
    <cfRule type="expression" dxfId="25" priority="5">
      <formula>C5="Resuelto"</formula>
    </cfRule>
    <cfRule type="expression" dxfId="24" priority="6">
      <formula>C5="Descartado"</formula>
    </cfRule>
  </conditionalFormatting>
  <dataValidations count="2">
    <dataValidation type="list" sqref="C5:C200" xr:uid="{00000000-0002-0000-1700-000000000000}">
      <formula1>"Pendiente,En curso,Bloqueado,Por validar,Resuelto,Descartado"</formula1>
    </dataValidation>
    <dataValidation type="list" sqref="D5:D200" xr:uid="{00000000-0002-0000-1700-000001000000}">
      <formula1>"Alta,Media,Baja"</formula1>
    </dataValidation>
  </dataValidations>
  <hyperlinks>
    <hyperlink ref="J1" location="'Indice'!A1" display="↩ Índice" xr:uid="{00000000-0004-0000-1700-000000000000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200"/>
  <sheetViews>
    <sheetView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1" width="18" customWidth="1"/>
    <col min="2" max="2" width="55" customWidth="1"/>
    <col min="3" max="3" width="18" customWidth="1"/>
    <col min="4" max="4" width="14" customWidth="1"/>
    <col min="5" max="5" width="20" customWidth="1"/>
    <col min="6" max="6" width="16" customWidth="1"/>
    <col min="7" max="7" width="72" customWidth="1"/>
    <col min="8" max="8" width="16" customWidth="1"/>
    <col min="9" max="9" width="3" customWidth="1"/>
    <col min="10" max="10" width="12" customWidth="1"/>
  </cols>
  <sheetData>
    <row r="1" spans="1:10" ht="30" customHeight="1" x14ac:dyDescent="0.25">
      <c r="A1" s="55" t="s">
        <v>56</v>
      </c>
      <c r="B1" s="55"/>
      <c r="C1" s="55"/>
      <c r="D1" s="55"/>
      <c r="E1" s="55"/>
      <c r="F1" s="55"/>
      <c r="G1" s="55"/>
      <c r="H1" s="55"/>
      <c r="J1" s="29" t="s">
        <v>96</v>
      </c>
    </row>
    <row r="2" spans="1:10" ht="30" customHeight="1" x14ac:dyDescent="0.25">
      <c r="A2" s="37" t="s">
        <v>469</v>
      </c>
      <c r="B2" s="37"/>
      <c r="C2" s="37"/>
      <c r="D2" s="37"/>
      <c r="E2" s="37"/>
      <c r="F2" s="37"/>
      <c r="G2" s="37"/>
      <c r="H2" s="37"/>
    </row>
    <row r="4" spans="1:10" ht="30" customHeight="1" x14ac:dyDescent="0.25">
      <c r="A4" s="34" t="s">
        <v>149</v>
      </c>
      <c r="B4" s="34" t="s">
        <v>150</v>
      </c>
      <c r="C4" s="34" t="s">
        <v>68</v>
      </c>
      <c r="D4" s="34" t="s">
        <v>151</v>
      </c>
      <c r="E4" s="34" t="s">
        <v>152</v>
      </c>
      <c r="F4" s="34" t="s">
        <v>153</v>
      </c>
      <c r="G4" s="34" t="s">
        <v>154</v>
      </c>
      <c r="H4" s="34" t="s">
        <v>155</v>
      </c>
      <c r="I4" s="22"/>
      <c r="J4" s="22"/>
    </row>
    <row r="5" spans="1:10" ht="26.45" customHeight="1" x14ac:dyDescent="0.25">
      <c r="A5" s="35" t="s">
        <v>493</v>
      </c>
      <c r="B5" s="35" t="s">
        <v>494</v>
      </c>
      <c r="C5" s="35" t="s">
        <v>75</v>
      </c>
      <c r="D5" s="35" t="s">
        <v>158</v>
      </c>
      <c r="E5" s="35" t="s">
        <v>495</v>
      </c>
      <c r="F5" s="35">
        <v>5</v>
      </c>
      <c r="G5" s="35" t="s">
        <v>496</v>
      </c>
      <c r="H5" s="35"/>
      <c r="I5" s="28"/>
      <c r="J5" s="28"/>
    </row>
    <row r="6" spans="1:10" ht="26.45" customHeight="1" x14ac:dyDescent="0.25">
      <c r="A6" s="36" t="s">
        <v>497</v>
      </c>
      <c r="B6" s="36" t="s">
        <v>498</v>
      </c>
      <c r="C6" s="36" t="s">
        <v>75</v>
      </c>
      <c r="D6" s="36" t="s">
        <v>158</v>
      </c>
      <c r="E6" s="36" t="s">
        <v>499</v>
      </c>
      <c r="F6" s="36">
        <v>6</v>
      </c>
      <c r="G6" s="36" t="s">
        <v>500</v>
      </c>
      <c r="H6" s="36"/>
      <c r="I6" s="28"/>
      <c r="J6" s="28"/>
    </row>
    <row r="7" spans="1:10" ht="26.45" customHeight="1" x14ac:dyDescent="0.25">
      <c r="A7" s="35" t="s">
        <v>501</v>
      </c>
      <c r="B7" s="35" t="s">
        <v>502</v>
      </c>
      <c r="C7" s="35" t="s">
        <v>75</v>
      </c>
      <c r="D7" s="35" t="s">
        <v>163</v>
      </c>
      <c r="E7" s="35" t="s">
        <v>503</v>
      </c>
      <c r="F7" s="35">
        <v>8</v>
      </c>
      <c r="G7" s="35" t="s">
        <v>504</v>
      </c>
      <c r="H7" s="35"/>
      <c r="I7" s="28"/>
      <c r="J7" s="28"/>
    </row>
    <row r="8" spans="1:10" ht="26.45" customHeight="1" x14ac:dyDescent="0.25">
      <c r="A8" s="36" t="s">
        <v>505</v>
      </c>
      <c r="B8" s="36" t="s">
        <v>506</v>
      </c>
      <c r="C8" s="36" t="s">
        <v>75</v>
      </c>
      <c r="D8" s="36" t="s">
        <v>158</v>
      </c>
      <c r="E8" s="36" t="s">
        <v>507</v>
      </c>
      <c r="F8" s="36">
        <v>6</v>
      </c>
      <c r="G8" s="36" t="s">
        <v>508</v>
      </c>
      <c r="H8" s="36"/>
      <c r="I8" s="28"/>
      <c r="J8" s="28"/>
    </row>
    <row r="9" spans="1:10" ht="26.45" customHeight="1" x14ac:dyDescent="0.25">
      <c r="A9" s="35" t="s">
        <v>509</v>
      </c>
      <c r="B9" s="35" t="s">
        <v>510</v>
      </c>
      <c r="C9" s="35" t="s">
        <v>72</v>
      </c>
      <c r="D9" s="35" t="s">
        <v>163</v>
      </c>
      <c r="E9" s="35" t="s">
        <v>511</v>
      </c>
      <c r="F9" s="35">
        <v>6</v>
      </c>
      <c r="G9" s="35" t="s">
        <v>512</v>
      </c>
      <c r="H9" s="35"/>
      <c r="I9" s="28"/>
      <c r="J9" s="28"/>
    </row>
    <row r="10" spans="1:10" ht="26.45" customHeight="1" x14ac:dyDescent="0.25">
      <c r="A10" s="30" t="s">
        <v>513</v>
      </c>
      <c r="B10" s="30" t="s">
        <v>514</v>
      </c>
      <c r="C10" s="30" t="s">
        <v>75</v>
      </c>
      <c r="D10" s="30" t="s">
        <v>158</v>
      </c>
      <c r="E10" s="30" t="s">
        <v>515</v>
      </c>
      <c r="F10" s="30">
        <v>4</v>
      </c>
      <c r="G10" s="30" t="s">
        <v>516</v>
      </c>
      <c r="H10" s="30"/>
      <c r="I10" s="28"/>
      <c r="J10" s="28"/>
    </row>
    <row r="11" spans="1:10" x14ac:dyDescent="0.25">
      <c r="B11" s="22"/>
      <c r="G11" s="22"/>
    </row>
    <row r="12" spans="1:10" x14ac:dyDescent="0.25">
      <c r="B12" s="22"/>
      <c r="G12" s="22"/>
    </row>
    <row r="13" spans="1:10" x14ac:dyDescent="0.25">
      <c r="B13" s="22"/>
      <c r="G13" s="22"/>
    </row>
    <row r="14" spans="1:10" x14ac:dyDescent="0.25">
      <c r="B14" s="22"/>
      <c r="G14" s="22"/>
    </row>
    <row r="15" spans="1:10" x14ac:dyDescent="0.25">
      <c r="B15" s="22"/>
      <c r="G15" s="22"/>
    </row>
    <row r="16" spans="1:10" x14ac:dyDescent="0.25">
      <c r="B16" s="22"/>
      <c r="G16" s="22"/>
    </row>
    <row r="17" spans="2:7" x14ac:dyDescent="0.25">
      <c r="B17" s="22"/>
      <c r="G17" s="22"/>
    </row>
    <row r="18" spans="2:7" x14ac:dyDescent="0.25">
      <c r="B18" s="22"/>
      <c r="G18" s="22"/>
    </row>
    <row r="19" spans="2:7" x14ac:dyDescent="0.25">
      <c r="B19" s="22"/>
      <c r="G19" s="22"/>
    </row>
    <row r="20" spans="2:7" x14ac:dyDescent="0.25">
      <c r="B20" s="22"/>
      <c r="G20" s="22"/>
    </row>
    <row r="21" spans="2:7" x14ac:dyDescent="0.25">
      <c r="B21" s="22"/>
      <c r="G21" s="22"/>
    </row>
    <row r="22" spans="2:7" x14ac:dyDescent="0.25">
      <c r="B22" s="22"/>
      <c r="G22" s="22"/>
    </row>
    <row r="23" spans="2:7" x14ac:dyDescent="0.25">
      <c r="B23" s="22"/>
      <c r="G23" s="22"/>
    </row>
    <row r="24" spans="2:7" x14ac:dyDescent="0.25">
      <c r="B24" s="22"/>
      <c r="G24" s="22"/>
    </row>
    <row r="25" spans="2:7" x14ac:dyDescent="0.25">
      <c r="B25" s="22"/>
      <c r="G25" s="22"/>
    </row>
    <row r="26" spans="2:7" x14ac:dyDescent="0.25">
      <c r="B26" s="22"/>
      <c r="G26" s="22"/>
    </row>
    <row r="27" spans="2:7" x14ac:dyDescent="0.25">
      <c r="B27" s="22"/>
      <c r="G27" s="22"/>
    </row>
    <row r="28" spans="2:7" x14ac:dyDescent="0.25">
      <c r="B28" s="22"/>
      <c r="G28" s="22"/>
    </row>
    <row r="29" spans="2:7" x14ac:dyDescent="0.25">
      <c r="B29" s="22"/>
      <c r="G29" s="22"/>
    </row>
    <row r="30" spans="2:7" x14ac:dyDescent="0.25">
      <c r="B30" s="22"/>
      <c r="G30" s="22"/>
    </row>
    <row r="31" spans="2:7" x14ac:dyDescent="0.25">
      <c r="B31" s="22"/>
      <c r="G31" s="22"/>
    </row>
    <row r="32" spans="2:7" x14ac:dyDescent="0.25">
      <c r="B32" s="22"/>
      <c r="G32" s="22"/>
    </row>
    <row r="33" spans="2:7" x14ac:dyDescent="0.25">
      <c r="B33" s="22"/>
      <c r="G33" s="22"/>
    </row>
    <row r="34" spans="2:7" x14ac:dyDescent="0.25">
      <c r="B34" s="22"/>
      <c r="G34" s="22"/>
    </row>
    <row r="35" spans="2:7" x14ac:dyDescent="0.25">
      <c r="B35" s="22"/>
      <c r="G35" s="22"/>
    </row>
    <row r="36" spans="2:7" x14ac:dyDescent="0.25">
      <c r="B36" s="22"/>
      <c r="G36" s="22"/>
    </row>
    <row r="37" spans="2:7" x14ac:dyDescent="0.25">
      <c r="B37" s="22"/>
      <c r="G37" s="22"/>
    </row>
    <row r="38" spans="2:7" x14ac:dyDescent="0.25">
      <c r="B38" s="22"/>
      <c r="G38" s="22"/>
    </row>
    <row r="39" spans="2:7" x14ac:dyDescent="0.25">
      <c r="B39" s="22"/>
      <c r="G39" s="22"/>
    </row>
    <row r="40" spans="2:7" x14ac:dyDescent="0.25">
      <c r="B40" s="22"/>
      <c r="G40" s="22"/>
    </row>
    <row r="41" spans="2:7" x14ac:dyDescent="0.25">
      <c r="B41" s="22"/>
      <c r="G41" s="22"/>
    </row>
    <row r="42" spans="2:7" x14ac:dyDescent="0.25">
      <c r="B42" s="22"/>
      <c r="G42" s="22"/>
    </row>
    <row r="43" spans="2:7" x14ac:dyDescent="0.25">
      <c r="B43" s="22"/>
      <c r="G43" s="22"/>
    </row>
    <row r="44" spans="2:7" x14ac:dyDescent="0.25">
      <c r="B44" s="22"/>
      <c r="G44" s="22"/>
    </row>
    <row r="45" spans="2:7" x14ac:dyDescent="0.25">
      <c r="B45" s="22"/>
      <c r="G45" s="22"/>
    </row>
    <row r="46" spans="2:7" x14ac:dyDescent="0.25">
      <c r="B46" s="22"/>
      <c r="G46" s="22"/>
    </row>
    <row r="47" spans="2:7" x14ac:dyDescent="0.25">
      <c r="B47" s="22"/>
      <c r="G47" s="22"/>
    </row>
    <row r="48" spans="2:7" x14ac:dyDescent="0.25">
      <c r="B48" s="22"/>
      <c r="G48" s="22"/>
    </row>
    <row r="49" spans="2:7" x14ac:dyDescent="0.25">
      <c r="B49" s="22"/>
      <c r="G49" s="22"/>
    </row>
    <row r="50" spans="2:7" x14ac:dyDescent="0.25">
      <c r="B50" s="22"/>
      <c r="G50" s="22"/>
    </row>
    <row r="51" spans="2:7" x14ac:dyDescent="0.25">
      <c r="B51" s="22"/>
      <c r="G51" s="22"/>
    </row>
    <row r="52" spans="2:7" x14ac:dyDescent="0.25">
      <c r="B52" s="22"/>
      <c r="G52" s="22"/>
    </row>
    <row r="53" spans="2:7" x14ac:dyDescent="0.25">
      <c r="B53" s="22"/>
      <c r="G53" s="22"/>
    </row>
    <row r="54" spans="2:7" x14ac:dyDescent="0.25">
      <c r="B54" s="22"/>
      <c r="G54" s="22"/>
    </row>
    <row r="55" spans="2:7" x14ac:dyDescent="0.25">
      <c r="B55" s="22"/>
      <c r="G55" s="22"/>
    </row>
    <row r="56" spans="2:7" x14ac:dyDescent="0.25">
      <c r="B56" s="22"/>
      <c r="G56" s="22"/>
    </row>
    <row r="57" spans="2:7" x14ac:dyDescent="0.25">
      <c r="B57" s="22"/>
      <c r="G57" s="22"/>
    </row>
    <row r="58" spans="2:7" x14ac:dyDescent="0.25">
      <c r="B58" s="22"/>
      <c r="G58" s="22"/>
    </row>
    <row r="59" spans="2:7" x14ac:dyDescent="0.25">
      <c r="B59" s="22"/>
      <c r="G59" s="22"/>
    </row>
    <row r="60" spans="2:7" x14ac:dyDescent="0.25">
      <c r="B60" s="22"/>
      <c r="G60" s="22"/>
    </row>
    <row r="61" spans="2:7" x14ac:dyDescent="0.25">
      <c r="B61" s="22"/>
      <c r="G61" s="22"/>
    </row>
    <row r="62" spans="2:7" x14ac:dyDescent="0.25">
      <c r="B62" s="22"/>
      <c r="G62" s="22"/>
    </row>
    <row r="63" spans="2:7" x14ac:dyDescent="0.25">
      <c r="B63" s="22"/>
      <c r="G63" s="22"/>
    </row>
    <row r="64" spans="2:7" x14ac:dyDescent="0.25">
      <c r="B64" s="22"/>
      <c r="G64" s="22"/>
    </row>
    <row r="65" spans="2:7" x14ac:dyDescent="0.25">
      <c r="B65" s="22"/>
      <c r="G65" s="22"/>
    </row>
    <row r="66" spans="2:7" x14ac:dyDescent="0.25">
      <c r="B66" s="22"/>
      <c r="G66" s="22"/>
    </row>
    <row r="67" spans="2:7" x14ac:dyDescent="0.25">
      <c r="B67" s="22"/>
      <c r="G67" s="22"/>
    </row>
    <row r="68" spans="2:7" x14ac:dyDescent="0.25">
      <c r="B68" s="22"/>
      <c r="G68" s="22"/>
    </row>
    <row r="69" spans="2:7" x14ac:dyDescent="0.25">
      <c r="B69" s="22"/>
      <c r="G69" s="22"/>
    </row>
    <row r="70" spans="2:7" x14ac:dyDescent="0.25">
      <c r="B70" s="22"/>
      <c r="G70" s="22"/>
    </row>
    <row r="71" spans="2:7" x14ac:dyDescent="0.25">
      <c r="B71" s="22"/>
      <c r="G71" s="22"/>
    </row>
    <row r="72" spans="2:7" x14ac:dyDescent="0.25">
      <c r="B72" s="22"/>
      <c r="G72" s="22"/>
    </row>
    <row r="73" spans="2:7" x14ac:dyDescent="0.25">
      <c r="B73" s="22"/>
      <c r="G73" s="22"/>
    </row>
    <row r="74" spans="2:7" x14ac:dyDescent="0.25">
      <c r="B74" s="22"/>
      <c r="G74" s="22"/>
    </row>
    <row r="75" spans="2:7" x14ac:dyDescent="0.25">
      <c r="B75" s="22"/>
      <c r="G75" s="22"/>
    </row>
    <row r="76" spans="2:7" x14ac:dyDescent="0.25">
      <c r="B76" s="22"/>
      <c r="G76" s="22"/>
    </row>
    <row r="77" spans="2:7" x14ac:dyDescent="0.25">
      <c r="B77" s="22"/>
      <c r="G77" s="22"/>
    </row>
    <row r="78" spans="2:7" x14ac:dyDescent="0.25">
      <c r="B78" s="22"/>
      <c r="G78" s="22"/>
    </row>
    <row r="79" spans="2:7" x14ac:dyDescent="0.25">
      <c r="B79" s="22"/>
      <c r="G79" s="22"/>
    </row>
    <row r="80" spans="2:7" x14ac:dyDescent="0.25">
      <c r="B80" s="22"/>
      <c r="G80" s="22"/>
    </row>
    <row r="81" spans="2:7" x14ac:dyDescent="0.25">
      <c r="B81" s="22"/>
      <c r="G81" s="22"/>
    </row>
    <row r="82" spans="2:7" x14ac:dyDescent="0.25">
      <c r="B82" s="22"/>
      <c r="G82" s="22"/>
    </row>
    <row r="83" spans="2:7" x14ac:dyDescent="0.25">
      <c r="B83" s="22"/>
      <c r="G83" s="22"/>
    </row>
    <row r="84" spans="2:7" x14ac:dyDescent="0.25">
      <c r="B84" s="22"/>
      <c r="G84" s="22"/>
    </row>
    <row r="85" spans="2:7" x14ac:dyDescent="0.25">
      <c r="B85" s="22"/>
      <c r="G85" s="22"/>
    </row>
    <row r="86" spans="2:7" x14ac:dyDescent="0.25">
      <c r="B86" s="22"/>
      <c r="G86" s="22"/>
    </row>
    <row r="87" spans="2:7" x14ac:dyDescent="0.25">
      <c r="B87" s="22"/>
      <c r="G87" s="22"/>
    </row>
    <row r="88" spans="2:7" x14ac:dyDescent="0.25">
      <c r="B88" s="22"/>
      <c r="G88" s="22"/>
    </row>
    <row r="89" spans="2:7" x14ac:dyDescent="0.25">
      <c r="B89" s="22"/>
      <c r="G89" s="22"/>
    </row>
    <row r="90" spans="2:7" x14ac:dyDescent="0.25">
      <c r="B90" s="22"/>
      <c r="G90" s="22"/>
    </row>
    <row r="91" spans="2:7" x14ac:dyDescent="0.25">
      <c r="B91" s="22"/>
      <c r="G91" s="22"/>
    </row>
    <row r="92" spans="2:7" x14ac:dyDescent="0.25">
      <c r="B92" s="22"/>
      <c r="G92" s="22"/>
    </row>
    <row r="93" spans="2:7" x14ac:dyDescent="0.25">
      <c r="B93" s="22"/>
      <c r="G93" s="22"/>
    </row>
    <row r="94" spans="2:7" x14ac:dyDescent="0.25">
      <c r="B94" s="22"/>
      <c r="G94" s="22"/>
    </row>
    <row r="95" spans="2:7" x14ac:dyDescent="0.25">
      <c r="B95" s="22"/>
      <c r="G95" s="22"/>
    </row>
    <row r="96" spans="2:7" x14ac:dyDescent="0.25">
      <c r="B96" s="22"/>
      <c r="G96" s="22"/>
    </row>
    <row r="97" spans="2:7" x14ac:dyDescent="0.25">
      <c r="B97" s="22"/>
      <c r="G97" s="22"/>
    </row>
    <row r="98" spans="2:7" x14ac:dyDescent="0.25">
      <c r="B98" s="22"/>
      <c r="G98" s="22"/>
    </row>
    <row r="99" spans="2:7" x14ac:dyDescent="0.25">
      <c r="B99" s="22"/>
      <c r="G99" s="22"/>
    </row>
    <row r="100" spans="2:7" x14ac:dyDescent="0.25">
      <c r="B100" s="22"/>
      <c r="G100" s="22"/>
    </row>
    <row r="101" spans="2:7" x14ac:dyDescent="0.25">
      <c r="B101" s="22"/>
      <c r="G101" s="22"/>
    </row>
    <row r="102" spans="2:7" x14ac:dyDescent="0.25">
      <c r="B102" s="22"/>
      <c r="G102" s="22"/>
    </row>
    <row r="103" spans="2:7" x14ac:dyDescent="0.25">
      <c r="B103" s="22"/>
      <c r="G103" s="22"/>
    </row>
    <row r="104" spans="2:7" x14ac:dyDescent="0.25">
      <c r="B104" s="22"/>
      <c r="G104" s="22"/>
    </row>
    <row r="105" spans="2:7" x14ac:dyDescent="0.25">
      <c r="B105" s="22"/>
      <c r="G105" s="22"/>
    </row>
    <row r="106" spans="2:7" x14ac:dyDescent="0.25">
      <c r="B106" s="22"/>
      <c r="G106" s="22"/>
    </row>
    <row r="107" spans="2:7" x14ac:dyDescent="0.25">
      <c r="B107" s="22"/>
      <c r="G107" s="22"/>
    </row>
    <row r="108" spans="2:7" x14ac:dyDescent="0.25">
      <c r="B108" s="22"/>
      <c r="G108" s="22"/>
    </row>
    <row r="109" spans="2:7" x14ac:dyDescent="0.25">
      <c r="B109" s="22"/>
      <c r="G109" s="22"/>
    </row>
    <row r="110" spans="2:7" x14ac:dyDescent="0.25">
      <c r="B110" s="22"/>
      <c r="G110" s="22"/>
    </row>
    <row r="111" spans="2:7" x14ac:dyDescent="0.25">
      <c r="B111" s="22"/>
      <c r="G111" s="22"/>
    </row>
    <row r="112" spans="2:7" x14ac:dyDescent="0.25">
      <c r="B112" s="22"/>
      <c r="G112" s="22"/>
    </row>
    <row r="113" spans="2:7" x14ac:dyDescent="0.25">
      <c r="B113" s="22"/>
      <c r="G113" s="22"/>
    </row>
    <row r="114" spans="2:7" x14ac:dyDescent="0.25">
      <c r="B114" s="22"/>
      <c r="G114" s="22"/>
    </row>
    <row r="115" spans="2:7" x14ac:dyDescent="0.25">
      <c r="B115" s="22"/>
      <c r="G115" s="22"/>
    </row>
    <row r="116" spans="2:7" x14ac:dyDescent="0.25">
      <c r="B116" s="22"/>
      <c r="G116" s="22"/>
    </row>
    <row r="117" spans="2:7" x14ac:dyDescent="0.25">
      <c r="B117" s="22"/>
      <c r="G117" s="22"/>
    </row>
    <row r="118" spans="2:7" x14ac:dyDescent="0.25">
      <c r="B118" s="22"/>
      <c r="G118" s="22"/>
    </row>
    <row r="119" spans="2:7" x14ac:dyDescent="0.25">
      <c r="B119" s="22"/>
      <c r="G119" s="22"/>
    </row>
    <row r="120" spans="2:7" x14ac:dyDescent="0.25">
      <c r="B120" s="22"/>
      <c r="G120" s="22"/>
    </row>
    <row r="121" spans="2:7" x14ac:dyDescent="0.25">
      <c r="B121" s="22"/>
      <c r="G121" s="22"/>
    </row>
    <row r="122" spans="2:7" x14ac:dyDescent="0.25">
      <c r="B122" s="22"/>
      <c r="G122" s="22"/>
    </row>
    <row r="123" spans="2:7" x14ac:dyDescent="0.25">
      <c r="B123" s="22"/>
      <c r="G123" s="22"/>
    </row>
    <row r="124" spans="2:7" x14ac:dyDescent="0.25">
      <c r="B124" s="22"/>
      <c r="G124" s="22"/>
    </row>
    <row r="125" spans="2:7" x14ac:dyDescent="0.25">
      <c r="B125" s="22"/>
      <c r="G125" s="22"/>
    </row>
    <row r="126" spans="2:7" x14ac:dyDescent="0.25">
      <c r="B126" s="22"/>
      <c r="G126" s="22"/>
    </row>
    <row r="127" spans="2:7" x14ac:dyDescent="0.25">
      <c r="B127" s="22"/>
      <c r="G127" s="22"/>
    </row>
    <row r="128" spans="2:7" x14ac:dyDescent="0.25">
      <c r="B128" s="22"/>
      <c r="G128" s="22"/>
    </row>
    <row r="129" spans="2:7" x14ac:dyDescent="0.25">
      <c r="B129" s="22"/>
      <c r="G129" s="22"/>
    </row>
    <row r="130" spans="2:7" x14ac:dyDescent="0.25">
      <c r="B130" s="22"/>
      <c r="G130" s="22"/>
    </row>
    <row r="131" spans="2:7" x14ac:dyDescent="0.25">
      <c r="B131" s="22"/>
      <c r="G131" s="22"/>
    </row>
    <row r="132" spans="2:7" x14ac:dyDescent="0.25">
      <c r="B132" s="22"/>
      <c r="G132" s="22"/>
    </row>
    <row r="133" spans="2:7" x14ac:dyDescent="0.25">
      <c r="B133" s="22"/>
      <c r="G133" s="22"/>
    </row>
    <row r="134" spans="2:7" x14ac:dyDescent="0.25">
      <c r="B134" s="22"/>
      <c r="G134" s="22"/>
    </row>
    <row r="135" spans="2:7" x14ac:dyDescent="0.25">
      <c r="B135" s="22"/>
      <c r="G135" s="22"/>
    </row>
    <row r="136" spans="2:7" x14ac:dyDescent="0.25">
      <c r="B136" s="22"/>
      <c r="G136" s="22"/>
    </row>
    <row r="137" spans="2:7" x14ac:dyDescent="0.25">
      <c r="B137" s="22"/>
      <c r="G137" s="22"/>
    </row>
    <row r="138" spans="2:7" x14ac:dyDescent="0.25">
      <c r="B138" s="22"/>
      <c r="G138" s="22"/>
    </row>
    <row r="139" spans="2:7" x14ac:dyDescent="0.25">
      <c r="B139" s="22"/>
      <c r="G139" s="22"/>
    </row>
    <row r="140" spans="2:7" x14ac:dyDescent="0.25">
      <c r="B140" s="22"/>
      <c r="G140" s="22"/>
    </row>
    <row r="141" spans="2:7" x14ac:dyDescent="0.25">
      <c r="B141" s="22"/>
      <c r="G141" s="22"/>
    </row>
    <row r="142" spans="2:7" x14ac:dyDescent="0.25">
      <c r="B142" s="22"/>
      <c r="G142" s="22"/>
    </row>
    <row r="143" spans="2:7" x14ac:dyDescent="0.25">
      <c r="B143" s="22"/>
      <c r="G143" s="22"/>
    </row>
    <row r="144" spans="2:7" x14ac:dyDescent="0.25">
      <c r="B144" s="22"/>
      <c r="G144" s="22"/>
    </row>
    <row r="145" spans="2:7" x14ac:dyDescent="0.25">
      <c r="B145" s="22"/>
      <c r="G145" s="22"/>
    </row>
    <row r="146" spans="2:7" x14ac:dyDescent="0.25">
      <c r="B146" s="22"/>
      <c r="G146" s="22"/>
    </row>
    <row r="147" spans="2:7" x14ac:dyDescent="0.25">
      <c r="B147" s="22"/>
      <c r="G147" s="22"/>
    </row>
    <row r="148" spans="2:7" x14ac:dyDescent="0.25">
      <c r="B148" s="22"/>
      <c r="G148" s="22"/>
    </row>
    <row r="149" spans="2:7" x14ac:dyDescent="0.25">
      <c r="B149" s="22"/>
      <c r="G149" s="22"/>
    </row>
    <row r="150" spans="2:7" x14ac:dyDescent="0.25">
      <c r="B150" s="22"/>
      <c r="G150" s="22"/>
    </row>
    <row r="151" spans="2:7" x14ac:dyDescent="0.25">
      <c r="B151" s="22"/>
      <c r="G151" s="22"/>
    </row>
    <row r="152" spans="2:7" x14ac:dyDescent="0.25">
      <c r="B152" s="22"/>
      <c r="G152" s="22"/>
    </row>
    <row r="153" spans="2:7" x14ac:dyDescent="0.25">
      <c r="B153" s="22"/>
      <c r="G153" s="22"/>
    </row>
    <row r="154" spans="2:7" x14ac:dyDescent="0.25">
      <c r="B154" s="22"/>
      <c r="G154" s="22"/>
    </row>
    <row r="155" spans="2:7" x14ac:dyDescent="0.25">
      <c r="B155" s="22"/>
      <c r="G155" s="22"/>
    </row>
    <row r="156" spans="2:7" x14ac:dyDescent="0.25">
      <c r="B156" s="22"/>
      <c r="G156" s="22"/>
    </row>
    <row r="157" spans="2:7" x14ac:dyDescent="0.25">
      <c r="B157" s="22"/>
      <c r="G157" s="22"/>
    </row>
    <row r="158" spans="2:7" x14ac:dyDescent="0.25">
      <c r="B158" s="22"/>
      <c r="G158" s="22"/>
    </row>
    <row r="159" spans="2:7" x14ac:dyDescent="0.25">
      <c r="B159" s="22"/>
      <c r="G159" s="22"/>
    </row>
    <row r="160" spans="2:7" x14ac:dyDescent="0.25">
      <c r="B160" s="22"/>
      <c r="G160" s="22"/>
    </row>
    <row r="161" spans="2:7" x14ac:dyDescent="0.25">
      <c r="B161" s="22"/>
      <c r="G161" s="22"/>
    </row>
    <row r="162" spans="2:7" x14ac:dyDescent="0.25">
      <c r="B162" s="22"/>
      <c r="G162" s="22"/>
    </row>
    <row r="163" spans="2:7" x14ac:dyDescent="0.25">
      <c r="B163" s="22"/>
      <c r="G163" s="22"/>
    </row>
    <row r="164" spans="2:7" x14ac:dyDescent="0.25">
      <c r="B164" s="22"/>
      <c r="G164" s="22"/>
    </row>
    <row r="165" spans="2:7" x14ac:dyDescent="0.25">
      <c r="B165" s="22"/>
      <c r="G165" s="22"/>
    </row>
    <row r="166" spans="2:7" x14ac:dyDescent="0.25">
      <c r="B166" s="22"/>
      <c r="G166" s="22"/>
    </row>
    <row r="167" spans="2:7" x14ac:dyDescent="0.25">
      <c r="B167" s="22"/>
      <c r="G167" s="22"/>
    </row>
    <row r="168" spans="2:7" x14ac:dyDescent="0.25">
      <c r="B168" s="22"/>
      <c r="G168" s="22"/>
    </row>
    <row r="169" spans="2:7" x14ac:dyDescent="0.25">
      <c r="B169" s="22"/>
      <c r="G169" s="22"/>
    </row>
    <row r="170" spans="2:7" x14ac:dyDescent="0.25">
      <c r="B170" s="22"/>
      <c r="G170" s="22"/>
    </row>
    <row r="171" spans="2:7" x14ac:dyDescent="0.25">
      <c r="B171" s="22"/>
      <c r="G171" s="22"/>
    </row>
    <row r="172" spans="2:7" x14ac:dyDescent="0.25">
      <c r="B172" s="22"/>
      <c r="G172" s="22"/>
    </row>
    <row r="173" spans="2:7" x14ac:dyDescent="0.25">
      <c r="B173" s="22"/>
      <c r="G173" s="22"/>
    </row>
    <row r="174" spans="2:7" x14ac:dyDescent="0.25">
      <c r="B174" s="22"/>
      <c r="G174" s="22"/>
    </row>
    <row r="175" spans="2:7" x14ac:dyDescent="0.25">
      <c r="B175" s="22"/>
      <c r="G175" s="22"/>
    </row>
    <row r="176" spans="2:7" x14ac:dyDescent="0.25">
      <c r="B176" s="22"/>
      <c r="G176" s="22"/>
    </row>
    <row r="177" spans="2:7" x14ac:dyDescent="0.25">
      <c r="B177" s="22"/>
      <c r="G177" s="22"/>
    </row>
    <row r="178" spans="2:7" x14ac:dyDescent="0.25">
      <c r="B178" s="22"/>
      <c r="G178" s="22"/>
    </row>
    <row r="179" spans="2:7" x14ac:dyDescent="0.25">
      <c r="B179" s="22"/>
      <c r="G179" s="22"/>
    </row>
    <row r="180" spans="2:7" x14ac:dyDescent="0.25">
      <c r="B180" s="22"/>
      <c r="G180" s="22"/>
    </row>
    <row r="181" spans="2:7" x14ac:dyDescent="0.25">
      <c r="B181" s="22"/>
      <c r="G181" s="22"/>
    </row>
    <row r="182" spans="2:7" x14ac:dyDescent="0.25">
      <c r="B182" s="22"/>
      <c r="G182" s="22"/>
    </row>
    <row r="183" spans="2:7" x14ac:dyDescent="0.25">
      <c r="B183" s="22"/>
      <c r="G183" s="22"/>
    </row>
    <row r="184" spans="2:7" x14ac:dyDescent="0.25">
      <c r="B184" s="22"/>
      <c r="G184" s="22"/>
    </row>
    <row r="185" spans="2:7" x14ac:dyDescent="0.25">
      <c r="B185" s="22"/>
      <c r="G185" s="22"/>
    </row>
    <row r="186" spans="2:7" x14ac:dyDescent="0.25">
      <c r="B186" s="22"/>
      <c r="G186" s="22"/>
    </row>
    <row r="187" spans="2:7" x14ac:dyDescent="0.25">
      <c r="B187" s="22"/>
      <c r="G187" s="22"/>
    </row>
    <row r="188" spans="2:7" x14ac:dyDescent="0.25">
      <c r="B188" s="22"/>
      <c r="G188" s="22"/>
    </row>
    <row r="189" spans="2:7" x14ac:dyDescent="0.25">
      <c r="B189" s="22"/>
      <c r="G189" s="22"/>
    </row>
    <row r="190" spans="2:7" x14ac:dyDescent="0.25">
      <c r="B190" s="22"/>
      <c r="G190" s="22"/>
    </row>
    <row r="191" spans="2:7" x14ac:dyDescent="0.25">
      <c r="B191" s="22"/>
      <c r="G191" s="22"/>
    </row>
    <row r="192" spans="2:7" x14ac:dyDescent="0.25">
      <c r="B192" s="22"/>
      <c r="G192" s="22"/>
    </row>
    <row r="193" spans="2:7" x14ac:dyDescent="0.25">
      <c r="B193" s="22"/>
      <c r="G193" s="22"/>
    </row>
    <row r="194" spans="2:7" x14ac:dyDescent="0.25">
      <c r="B194" s="22"/>
      <c r="G194" s="22"/>
    </row>
    <row r="195" spans="2:7" x14ac:dyDescent="0.25">
      <c r="B195" s="22"/>
      <c r="G195" s="22"/>
    </row>
    <row r="196" spans="2:7" x14ac:dyDescent="0.25">
      <c r="B196" s="22"/>
      <c r="G196" s="22"/>
    </row>
    <row r="197" spans="2:7" x14ac:dyDescent="0.25">
      <c r="B197" s="22"/>
      <c r="G197" s="22"/>
    </row>
    <row r="198" spans="2:7" x14ac:dyDescent="0.25">
      <c r="B198" s="22"/>
      <c r="G198" s="22"/>
    </row>
    <row r="199" spans="2:7" x14ac:dyDescent="0.25">
      <c r="B199" s="22"/>
      <c r="G199" s="22"/>
    </row>
    <row r="200" spans="2:7" x14ac:dyDescent="0.25">
      <c r="B200" s="22"/>
      <c r="G200" s="22"/>
    </row>
  </sheetData>
  <mergeCells count="2">
    <mergeCell ref="A1:H1"/>
    <mergeCell ref="A2:H2"/>
  </mergeCells>
  <conditionalFormatting sqref="C5:C10">
    <cfRule type="expression" dxfId="23" priority="1">
      <formula>C5="Pendiente"</formula>
    </cfRule>
    <cfRule type="expression" dxfId="22" priority="2">
      <formula>C5="En curso"</formula>
    </cfRule>
    <cfRule type="expression" dxfId="21" priority="3">
      <formula>C5="Bloqueado"</formula>
    </cfRule>
    <cfRule type="expression" dxfId="20" priority="4">
      <formula>C5="Por validar"</formula>
    </cfRule>
    <cfRule type="expression" dxfId="19" priority="5">
      <formula>C5="Resuelto"</formula>
    </cfRule>
    <cfRule type="expression" dxfId="18" priority="6">
      <formula>C5="Descartado"</formula>
    </cfRule>
  </conditionalFormatting>
  <dataValidations count="2">
    <dataValidation type="list" sqref="C5:C200" xr:uid="{00000000-0002-0000-1800-000000000000}">
      <formula1>"Pendiente,En curso,Bloqueado,Por validar,Resuelto,Descartado"</formula1>
    </dataValidation>
    <dataValidation type="list" sqref="D5:D200" xr:uid="{00000000-0002-0000-1800-000001000000}">
      <formula1>"Alta,Media,Baja"</formula1>
    </dataValidation>
  </dataValidations>
  <hyperlinks>
    <hyperlink ref="J1" location="'Indice'!A1" display="↩ Índice" xr:uid="{00000000-0004-0000-1800-000000000000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200"/>
  <sheetViews>
    <sheetView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1" width="18" customWidth="1"/>
    <col min="2" max="2" width="55" customWidth="1"/>
    <col min="3" max="3" width="18" customWidth="1"/>
    <col min="4" max="4" width="14" customWidth="1"/>
    <col min="5" max="5" width="20" customWidth="1"/>
    <col min="6" max="6" width="16" customWidth="1"/>
    <col min="7" max="7" width="72" customWidth="1"/>
    <col min="8" max="8" width="16" customWidth="1"/>
    <col min="9" max="9" width="3" customWidth="1"/>
    <col min="10" max="10" width="12" customWidth="1"/>
  </cols>
  <sheetData>
    <row r="1" spans="1:10" ht="30" customHeight="1" x14ac:dyDescent="0.25">
      <c r="A1" s="55" t="s">
        <v>58</v>
      </c>
      <c r="B1" s="55"/>
      <c r="C1" s="55"/>
      <c r="D1" s="55"/>
      <c r="E1" s="55"/>
      <c r="F1" s="55"/>
      <c r="G1" s="55"/>
      <c r="H1" s="55"/>
      <c r="J1" s="29" t="s">
        <v>96</v>
      </c>
    </row>
    <row r="2" spans="1:10" ht="30" customHeight="1" x14ac:dyDescent="0.25">
      <c r="A2" s="37" t="s">
        <v>469</v>
      </c>
      <c r="B2" s="37"/>
      <c r="C2" s="37"/>
      <c r="D2" s="37"/>
      <c r="E2" s="37"/>
      <c r="F2" s="37"/>
      <c r="G2" s="37"/>
      <c r="H2" s="37"/>
    </row>
    <row r="4" spans="1:10" ht="30" customHeight="1" x14ac:dyDescent="0.25">
      <c r="A4" s="34" t="s">
        <v>149</v>
      </c>
      <c r="B4" s="34" t="s">
        <v>150</v>
      </c>
      <c r="C4" s="34" t="s">
        <v>68</v>
      </c>
      <c r="D4" s="34" t="s">
        <v>151</v>
      </c>
      <c r="E4" s="34" t="s">
        <v>152</v>
      </c>
      <c r="F4" s="34" t="s">
        <v>153</v>
      </c>
      <c r="G4" s="34" t="s">
        <v>154</v>
      </c>
      <c r="H4" s="34" t="s">
        <v>155</v>
      </c>
      <c r="I4" s="22"/>
      <c r="J4" s="22"/>
    </row>
    <row r="5" spans="1:10" ht="26.45" customHeight="1" x14ac:dyDescent="0.25">
      <c r="A5" s="35" t="s">
        <v>517</v>
      </c>
      <c r="B5" s="35" t="s">
        <v>518</v>
      </c>
      <c r="C5" s="35" t="s">
        <v>75</v>
      </c>
      <c r="D5" s="35" t="s">
        <v>158</v>
      </c>
      <c r="E5" s="35" t="s">
        <v>519</v>
      </c>
      <c r="F5" s="35">
        <v>6</v>
      </c>
      <c r="G5" s="35" t="s">
        <v>520</v>
      </c>
      <c r="H5" s="35"/>
      <c r="I5" s="28"/>
      <c r="J5" s="28"/>
    </row>
    <row r="6" spans="1:10" ht="26.45" customHeight="1" x14ac:dyDescent="0.25">
      <c r="A6" s="36" t="s">
        <v>521</v>
      </c>
      <c r="B6" s="36" t="s">
        <v>522</v>
      </c>
      <c r="C6" s="36" t="s">
        <v>75</v>
      </c>
      <c r="D6" s="36" t="s">
        <v>158</v>
      </c>
      <c r="E6" s="36" t="s">
        <v>523</v>
      </c>
      <c r="F6" s="36">
        <v>8</v>
      </c>
      <c r="G6" s="36" t="s">
        <v>524</v>
      </c>
      <c r="H6" s="36"/>
      <c r="I6" s="28"/>
      <c r="J6" s="28"/>
    </row>
    <row r="7" spans="1:10" ht="26.45" customHeight="1" x14ac:dyDescent="0.25">
      <c r="A7" s="35" t="s">
        <v>525</v>
      </c>
      <c r="B7" s="35" t="s">
        <v>526</v>
      </c>
      <c r="C7" s="35" t="s">
        <v>75</v>
      </c>
      <c r="D7" s="35" t="s">
        <v>158</v>
      </c>
      <c r="E7" s="35" t="s">
        <v>527</v>
      </c>
      <c r="F7" s="35">
        <v>6</v>
      </c>
      <c r="G7" s="35" t="s">
        <v>528</v>
      </c>
      <c r="H7" s="35"/>
      <c r="I7" s="28"/>
      <c r="J7" s="28"/>
    </row>
    <row r="8" spans="1:10" ht="26.45" customHeight="1" x14ac:dyDescent="0.25">
      <c r="A8" s="36" t="s">
        <v>529</v>
      </c>
      <c r="B8" s="36" t="s">
        <v>530</v>
      </c>
      <c r="C8" s="36" t="s">
        <v>75</v>
      </c>
      <c r="D8" s="36" t="s">
        <v>158</v>
      </c>
      <c r="E8" s="36" t="s">
        <v>531</v>
      </c>
      <c r="F8" s="36">
        <v>5</v>
      </c>
      <c r="G8" s="36" t="s">
        <v>532</v>
      </c>
      <c r="H8" s="36"/>
      <c r="I8" s="28"/>
      <c r="J8" s="28"/>
    </row>
    <row r="9" spans="1:10" ht="26.45" customHeight="1" x14ac:dyDescent="0.25">
      <c r="A9" s="35" t="s">
        <v>533</v>
      </c>
      <c r="B9" s="35" t="s">
        <v>534</v>
      </c>
      <c r="C9" s="35" t="s">
        <v>75</v>
      </c>
      <c r="D9" s="35" t="s">
        <v>158</v>
      </c>
      <c r="E9" s="35" t="s">
        <v>535</v>
      </c>
      <c r="F9" s="35">
        <v>5</v>
      </c>
      <c r="G9" s="35" t="s">
        <v>536</v>
      </c>
      <c r="H9" s="35"/>
      <c r="I9" s="28"/>
      <c r="J9" s="28"/>
    </row>
    <row r="10" spans="1:10" ht="26.45" customHeight="1" x14ac:dyDescent="0.25">
      <c r="A10" s="30" t="s">
        <v>537</v>
      </c>
      <c r="B10" s="30" t="s">
        <v>538</v>
      </c>
      <c r="C10" s="30" t="s">
        <v>72</v>
      </c>
      <c r="D10" s="30" t="s">
        <v>163</v>
      </c>
      <c r="E10" s="30" t="s">
        <v>539</v>
      </c>
      <c r="F10" s="30">
        <v>5</v>
      </c>
      <c r="G10" s="30" t="s">
        <v>540</v>
      </c>
      <c r="H10" s="30"/>
      <c r="I10" s="28"/>
      <c r="J10" s="28"/>
    </row>
    <row r="11" spans="1:10" x14ac:dyDescent="0.25">
      <c r="B11" s="22"/>
      <c r="G11" s="22"/>
    </row>
    <row r="12" spans="1:10" x14ac:dyDescent="0.25">
      <c r="B12" s="22"/>
      <c r="G12" s="22"/>
    </row>
    <row r="13" spans="1:10" x14ac:dyDescent="0.25">
      <c r="B13" s="22"/>
      <c r="G13" s="22"/>
    </row>
    <row r="14" spans="1:10" x14ac:dyDescent="0.25">
      <c r="B14" s="22"/>
      <c r="G14" s="22"/>
    </row>
    <row r="15" spans="1:10" x14ac:dyDescent="0.25">
      <c r="B15" s="22"/>
      <c r="G15" s="22"/>
    </row>
    <row r="16" spans="1:10" x14ac:dyDescent="0.25">
      <c r="B16" s="22"/>
      <c r="G16" s="22"/>
    </row>
    <row r="17" spans="2:7" x14ac:dyDescent="0.25">
      <c r="B17" s="22"/>
      <c r="G17" s="22"/>
    </row>
    <row r="18" spans="2:7" x14ac:dyDescent="0.25">
      <c r="B18" s="22"/>
      <c r="G18" s="22"/>
    </row>
    <row r="19" spans="2:7" x14ac:dyDescent="0.25">
      <c r="B19" s="22"/>
      <c r="G19" s="22"/>
    </row>
    <row r="20" spans="2:7" x14ac:dyDescent="0.25">
      <c r="B20" s="22"/>
      <c r="G20" s="22"/>
    </row>
    <row r="21" spans="2:7" x14ac:dyDescent="0.25">
      <c r="B21" s="22"/>
      <c r="G21" s="22"/>
    </row>
    <row r="22" spans="2:7" x14ac:dyDescent="0.25">
      <c r="B22" s="22"/>
      <c r="G22" s="22"/>
    </row>
    <row r="23" spans="2:7" x14ac:dyDescent="0.25">
      <c r="B23" s="22"/>
      <c r="G23" s="22"/>
    </row>
    <row r="24" spans="2:7" x14ac:dyDescent="0.25">
      <c r="B24" s="22"/>
      <c r="G24" s="22"/>
    </row>
    <row r="25" spans="2:7" x14ac:dyDescent="0.25">
      <c r="B25" s="22"/>
      <c r="G25" s="22"/>
    </row>
    <row r="26" spans="2:7" x14ac:dyDescent="0.25">
      <c r="B26" s="22"/>
      <c r="G26" s="22"/>
    </row>
    <row r="27" spans="2:7" x14ac:dyDescent="0.25">
      <c r="B27" s="22"/>
      <c r="G27" s="22"/>
    </row>
    <row r="28" spans="2:7" x14ac:dyDescent="0.25">
      <c r="B28" s="22"/>
      <c r="G28" s="22"/>
    </row>
    <row r="29" spans="2:7" x14ac:dyDescent="0.25">
      <c r="B29" s="22"/>
      <c r="G29" s="22"/>
    </row>
    <row r="30" spans="2:7" x14ac:dyDescent="0.25">
      <c r="B30" s="22"/>
      <c r="G30" s="22"/>
    </row>
    <row r="31" spans="2:7" x14ac:dyDescent="0.25">
      <c r="B31" s="22"/>
      <c r="G31" s="22"/>
    </row>
    <row r="32" spans="2:7" x14ac:dyDescent="0.25">
      <c r="B32" s="22"/>
      <c r="G32" s="22"/>
    </row>
    <row r="33" spans="2:7" x14ac:dyDescent="0.25">
      <c r="B33" s="22"/>
      <c r="G33" s="22"/>
    </row>
    <row r="34" spans="2:7" x14ac:dyDescent="0.25">
      <c r="B34" s="22"/>
      <c r="G34" s="22"/>
    </row>
    <row r="35" spans="2:7" x14ac:dyDescent="0.25">
      <c r="B35" s="22"/>
      <c r="G35" s="22"/>
    </row>
    <row r="36" spans="2:7" x14ac:dyDescent="0.25">
      <c r="B36" s="22"/>
      <c r="G36" s="22"/>
    </row>
    <row r="37" spans="2:7" x14ac:dyDescent="0.25">
      <c r="B37" s="22"/>
      <c r="G37" s="22"/>
    </row>
    <row r="38" spans="2:7" x14ac:dyDescent="0.25">
      <c r="B38" s="22"/>
      <c r="G38" s="22"/>
    </row>
    <row r="39" spans="2:7" x14ac:dyDescent="0.25">
      <c r="B39" s="22"/>
      <c r="G39" s="22"/>
    </row>
    <row r="40" spans="2:7" x14ac:dyDescent="0.25">
      <c r="B40" s="22"/>
      <c r="G40" s="22"/>
    </row>
    <row r="41" spans="2:7" x14ac:dyDescent="0.25">
      <c r="B41" s="22"/>
      <c r="G41" s="22"/>
    </row>
    <row r="42" spans="2:7" x14ac:dyDescent="0.25">
      <c r="B42" s="22"/>
      <c r="G42" s="22"/>
    </row>
    <row r="43" spans="2:7" x14ac:dyDescent="0.25">
      <c r="B43" s="22"/>
      <c r="G43" s="22"/>
    </row>
    <row r="44" spans="2:7" x14ac:dyDescent="0.25">
      <c r="B44" s="22"/>
      <c r="G44" s="22"/>
    </row>
    <row r="45" spans="2:7" x14ac:dyDescent="0.25">
      <c r="B45" s="22"/>
      <c r="G45" s="22"/>
    </row>
    <row r="46" spans="2:7" x14ac:dyDescent="0.25">
      <c r="B46" s="22"/>
      <c r="G46" s="22"/>
    </row>
    <row r="47" spans="2:7" x14ac:dyDescent="0.25">
      <c r="B47" s="22"/>
      <c r="G47" s="22"/>
    </row>
    <row r="48" spans="2:7" x14ac:dyDescent="0.25">
      <c r="B48" s="22"/>
      <c r="G48" s="22"/>
    </row>
    <row r="49" spans="2:7" x14ac:dyDescent="0.25">
      <c r="B49" s="22"/>
      <c r="G49" s="22"/>
    </row>
    <row r="50" spans="2:7" x14ac:dyDescent="0.25">
      <c r="B50" s="22"/>
      <c r="G50" s="22"/>
    </row>
    <row r="51" spans="2:7" x14ac:dyDescent="0.25">
      <c r="B51" s="22"/>
      <c r="G51" s="22"/>
    </row>
    <row r="52" spans="2:7" x14ac:dyDescent="0.25">
      <c r="B52" s="22"/>
      <c r="G52" s="22"/>
    </row>
    <row r="53" spans="2:7" x14ac:dyDescent="0.25">
      <c r="B53" s="22"/>
      <c r="G53" s="22"/>
    </row>
    <row r="54" spans="2:7" x14ac:dyDescent="0.25">
      <c r="B54" s="22"/>
      <c r="G54" s="22"/>
    </row>
    <row r="55" spans="2:7" x14ac:dyDescent="0.25">
      <c r="B55" s="22"/>
      <c r="G55" s="22"/>
    </row>
    <row r="56" spans="2:7" x14ac:dyDescent="0.25">
      <c r="B56" s="22"/>
      <c r="G56" s="22"/>
    </row>
    <row r="57" spans="2:7" x14ac:dyDescent="0.25">
      <c r="B57" s="22"/>
      <c r="G57" s="22"/>
    </row>
    <row r="58" spans="2:7" x14ac:dyDescent="0.25">
      <c r="B58" s="22"/>
      <c r="G58" s="22"/>
    </row>
    <row r="59" spans="2:7" x14ac:dyDescent="0.25">
      <c r="B59" s="22"/>
      <c r="G59" s="22"/>
    </row>
    <row r="60" spans="2:7" x14ac:dyDescent="0.25">
      <c r="B60" s="22"/>
      <c r="G60" s="22"/>
    </row>
    <row r="61" spans="2:7" x14ac:dyDescent="0.25">
      <c r="B61" s="22"/>
      <c r="G61" s="22"/>
    </row>
    <row r="62" spans="2:7" x14ac:dyDescent="0.25">
      <c r="B62" s="22"/>
      <c r="G62" s="22"/>
    </row>
    <row r="63" spans="2:7" x14ac:dyDescent="0.25">
      <c r="B63" s="22"/>
      <c r="G63" s="22"/>
    </row>
    <row r="64" spans="2:7" x14ac:dyDescent="0.25">
      <c r="B64" s="22"/>
      <c r="G64" s="22"/>
    </row>
    <row r="65" spans="2:7" x14ac:dyDescent="0.25">
      <c r="B65" s="22"/>
      <c r="G65" s="22"/>
    </row>
    <row r="66" spans="2:7" x14ac:dyDescent="0.25">
      <c r="B66" s="22"/>
      <c r="G66" s="22"/>
    </row>
    <row r="67" spans="2:7" x14ac:dyDescent="0.25">
      <c r="B67" s="22"/>
      <c r="G67" s="22"/>
    </row>
    <row r="68" spans="2:7" x14ac:dyDescent="0.25">
      <c r="B68" s="22"/>
      <c r="G68" s="22"/>
    </row>
    <row r="69" spans="2:7" x14ac:dyDescent="0.25">
      <c r="B69" s="22"/>
      <c r="G69" s="22"/>
    </row>
    <row r="70" spans="2:7" x14ac:dyDescent="0.25">
      <c r="B70" s="22"/>
      <c r="G70" s="22"/>
    </row>
    <row r="71" spans="2:7" x14ac:dyDescent="0.25">
      <c r="B71" s="22"/>
      <c r="G71" s="22"/>
    </row>
    <row r="72" spans="2:7" x14ac:dyDescent="0.25">
      <c r="B72" s="22"/>
      <c r="G72" s="22"/>
    </row>
    <row r="73" spans="2:7" x14ac:dyDescent="0.25">
      <c r="B73" s="22"/>
      <c r="G73" s="22"/>
    </row>
    <row r="74" spans="2:7" x14ac:dyDescent="0.25">
      <c r="B74" s="22"/>
      <c r="G74" s="22"/>
    </row>
    <row r="75" spans="2:7" x14ac:dyDescent="0.25">
      <c r="B75" s="22"/>
      <c r="G75" s="22"/>
    </row>
    <row r="76" spans="2:7" x14ac:dyDescent="0.25">
      <c r="B76" s="22"/>
      <c r="G76" s="22"/>
    </row>
    <row r="77" spans="2:7" x14ac:dyDescent="0.25">
      <c r="B77" s="22"/>
      <c r="G77" s="22"/>
    </row>
    <row r="78" spans="2:7" x14ac:dyDescent="0.25">
      <c r="B78" s="22"/>
      <c r="G78" s="22"/>
    </row>
    <row r="79" spans="2:7" x14ac:dyDescent="0.25">
      <c r="B79" s="22"/>
      <c r="G79" s="22"/>
    </row>
    <row r="80" spans="2:7" x14ac:dyDescent="0.25">
      <c r="B80" s="22"/>
      <c r="G80" s="22"/>
    </row>
    <row r="81" spans="2:7" x14ac:dyDescent="0.25">
      <c r="B81" s="22"/>
      <c r="G81" s="22"/>
    </row>
    <row r="82" spans="2:7" x14ac:dyDescent="0.25">
      <c r="B82" s="22"/>
      <c r="G82" s="22"/>
    </row>
    <row r="83" spans="2:7" x14ac:dyDescent="0.25">
      <c r="B83" s="22"/>
      <c r="G83" s="22"/>
    </row>
    <row r="84" spans="2:7" x14ac:dyDescent="0.25">
      <c r="B84" s="22"/>
      <c r="G84" s="22"/>
    </row>
    <row r="85" spans="2:7" x14ac:dyDescent="0.25">
      <c r="B85" s="22"/>
      <c r="G85" s="22"/>
    </row>
    <row r="86" spans="2:7" x14ac:dyDescent="0.25">
      <c r="B86" s="22"/>
      <c r="G86" s="22"/>
    </row>
    <row r="87" spans="2:7" x14ac:dyDescent="0.25">
      <c r="B87" s="22"/>
      <c r="G87" s="22"/>
    </row>
    <row r="88" spans="2:7" x14ac:dyDescent="0.25">
      <c r="B88" s="22"/>
      <c r="G88" s="22"/>
    </row>
    <row r="89" spans="2:7" x14ac:dyDescent="0.25">
      <c r="B89" s="22"/>
      <c r="G89" s="22"/>
    </row>
    <row r="90" spans="2:7" x14ac:dyDescent="0.25">
      <c r="B90" s="22"/>
      <c r="G90" s="22"/>
    </row>
    <row r="91" spans="2:7" x14ac:dyDescent="0.25">
      <c r="B91" s="22"/>
      <c r="G91" s="22"/>
    </row>
    <row r="92" spans="2:7" x14ac:dyDescent="0.25">
      <c r="B92" s="22"/>
      <c r="G92" s="22"/>
    </row>
    <row r="93" spans="2:7" x14ac:dyDescent="0.25">
      <c r="B93" s="22"/>
      <c r="G93" s="22"/>
    </row>
    <row r="94" spans="2:7" x14ac:dyDescent="0.25">
      <c r="B94" s="22"/>
      <c r="G94" s="22"/>
    </row>
    <row r="95" spans="2:7" x14ac:dyDescent="0.25">
      <c r="B95" s="22"/>
      <c r="G95" s="22"/>
    </row>
    <row r="96" spans="2:7" x14ac:dyDescent="0.25">
      <c r="B96" s="22"/>
      <c r="G96" s="22"/>
    </row>
    <row r="97" spans="2:7" x14ac:dyDescent="0.25">
      <c r="B97" s="22"/>
      <c r="G97" s="22"/>
    </row>
    <row r="98" spans="2:7" x14ac:dyDescent="0.25">
      <c r="B98" s="22"/>
      <c r="G98" s="22"/>
    </row>
    <row r="99" spans="2:7" x14ac:dyDescent="0.25">
      <c r="B99" s="22"/>
      <c r="G99" s="22"/>
    </row>
    <row r="100" spans="2:7" x14ac:dyDescent="0.25">
      <c r="B100" s="22"/>
      <c r="G100" s="22"/>
    </row>
    <row r="101" spans="2:7" x14ac:dyDescent="0.25">
      <c r="B101" s="22"/>
      <c r="G101" s="22"/>
    </row>
    <row r="102" spans="2:7" x14ac:dyDescent="0.25">
      <c r="B102" s="22"/>
      <c r="G102" s="22"/>
    </row>
    <row r="103" spans="2:7" x14ac:dyDescent="0.25">
      <c r="B103" s="22"/>
      <c r="G103" s="22"/>
    </row>
    <row r="104" spans="2:7" x14ac:dyDescent="0.25">
      <c r="B104" s="22"/>
      <c r="G104" s="22"/>
    </row>
    <row r="105" spans="2:7" x14ac:dyDescent="0.25">
      <c r="B105" s="22"/>
      <c r="G105" s="22"/>
    </row>
    <row r="106" spans="2:7" x14ac:dyDescent="0.25">
      <c r="B106" s="22"/>
      <c r="G106" s="22"/>
    </row>
    <row r="107" spans="2:7" x14ac:dyDescent="0.25">
      <c r="B107" s="22"/>
      <c r="G107" s="22"/>
    </row>
    <row r="108" spans="2:7" x14ac:dyDescent="0.25">
      <c r="B108" s="22"/>
      <c r="G108" s="22"/>
    </row>
    <row r="109" spans="2:7" x14ac:dyDescent="0.25">
      <c r="B109" s="22"/>
      <c r="G109" s="22"/>
    </row>
    <row r="110" spans="2:7" x14ac:dyDescent="0.25">
      <c r="B110" s="22"/>
      <c r="G110" s="22"/>
    </row>
    <row r="111" spans="2:7" x14ac:dyDescent="0.25">
      <c r="B111" s="22"/>
      <c r="G111" s="22"/>
    </row>
    <row r="112" spans="2:7" x14ac:dyDescent="0.25">
      <c r="B112" s="22"/>
      <c r="G112" s="22"/>
    </row>
    <row r="113" spans="2:7" x14ac:dyDescent="0.25">
      <c r="B113" s="22"/>
      <c r="G113" s="22"/>
    </row>
    <row r="114" spans="2:7" x14ac:dyDescent="0.25">
      <c r="B114" s="22"/>
      <c r="G114" s="22"/>
    </row>
    <row r="115" spans="2:7" x14ac:dyDescent="0.25">
      <c r="B115" s="22"/>
      <c r="G115" s="22"/>
    </row>
    <row r="116" spans="2:7" x14ac:dyDescent="0.25">
      <c r="B116" s="22"/>
      <c r="G116" s="22"/>
    </row>
    <row r="117" spans="2:7" x14ac:dyDescent="0.25">
      <c r="B117" s="22"/>
      <c r="G117" s="22"/>
    </row>
    <row r="118" spans="2:7" x14ac:dyDescent="0.25">
      <c r="B118" s="22"/>
      <c r="G118" s="22"/>
    </row>
    <row r="119" spans="2:7" x14ac:dyDescent="0.25">
      <c r="B119" s="22"/>
      <c r="G119" s="22"/>
    </row>
    <row r="120" spans="2:7" x14ac:dyDescent="0.25">
      <c r="B120" s="22"/>
      <c r="G120" s="22"/>
    </row>
    <row r="121" spans="2:7" x14ac:dyDescent="0.25">
      <c r="B121" s="22"/>
      <c r="G121" s="22"/>
    </row>
    <row r="122" spans="2:7" x14ac:dyDescent="0.25">
      <c r="B122" s="22"/>
      <c r="G122" s="22"/>
    </row>
    <row r="123" spans="2:7" x14ac:dyDescent="0.25">
      <c r="B123" s="22"/>
      <c r="G123" s="22"/>
    </row>
    <row r="124" spans="2:7" x14ac:dyDescent="0.25">
      <c r="B124" s="22"/>
      <c r="G124" s="22"/>
    </row>
    <row r="125" spans="2:7" x14ac:dyDescent="0.25">
      <c r="B125" s="22"/>
      <c r="G125" s="22"/>
    </row>
    <row r="126" spans="2:7" x14ac:dyDescent="0.25">
      <c r="B126" s="22"/>
      <c r="G126" s="22"/>
    </row>
    <row r="127" spans="2:7" x14ac:dyDescent="0.25">
      <c r="B127" s="22"/>
      <c r="G127" s="22"/>
    </row>
    <row r="128" spans="2:7" x14ac:dyDescent="0.25">
      <c r="B128" s="22"/>
      <c r="G128" s="22"/>
    </row>
    <row r="129" spans="2:7" x14ac:dyDescent="0.25">
      <c r="B129" s="22"/>
      <c r="G129" s="22"/>
    </row>
    <row r="130" spans="2:7" x14ac:dyDescent="0.25">
      <c r="B130" s="22"/>
      <c r="G130" s="22"/>
    </row>
    <row r="131" spans="2:7" x14ac:dyDescent="0.25">
      <c r="B131" s="22"/>
      <c r="G131" s="22"/>
    </row>
    <row r="132" spans="2:7" x14ac:dyDescent="0.25">
      <c r="B132" s="22"/>
      <c r="G132" s="22"/>
    </row>
    <row r="133" spans="2:7" x14ac:dyDescent="0.25">
      <c r="B133" s="22"/>
      <c r="G133" s="22"/>
    </row>
    <row r="134" spans="2:7" x14ac:dyDescent="0.25">
      <c r="B134" s="22"/>
      <c r="G134" s="22"/>
    </row>
    <row r="135" spans="2:7" x14ac:dyDescent="0.25">
      <c r="B135" s="22"/>
      <c r="G135" s="22"/>
    </row>
    <row r="136" spans="2:7" x14ac:dyDescent="0.25">
      <c r="B136" s="22"/>
      <c r="G136" s="22"/>
    </row>
    <row r="137" spans="2:7" x14ac:dyDescent="0.25">
      <c r="B137" s="22"/>
      <c r="G137" s="22"/>
    </row>
    <row r="138" spans="2:7" x14ac:dyDescent="0.25">
      <c r="B138" s="22"/>
      <c r="G138" s="22"/>
    </row>
    <row r="139" spans="2:7" x14ac:dyDescent="0.25">
      <c r="B139" s="22"/>
      <c r="G139" s="22"/>
    </row>
    <row r="140" spans="2:7" x14ac:dyDescent="0.25">
      <c r="B140" s="22"/>
      <c r="G140" s="22"/>
    </row>
    <row r="141" spans="2:7" x14ac:dyDescent="0.25">
      <c r="B141" s="22"/>
      <c r="G141" s="22"/>
    </row>
    <row r="142" spans="2:7" x14ac:dyDescent="0.25">
      <c r="B142" s="22"/>
      <c r="G142" s="22"/>
    </row>
    <row r="143" spans="2:7" x14ac:dyDescent="0.25">
      <c r="B143" s="22"/>
      <c r="G143" s="22"/>
    </row>
    <row r="144" spans="2:7" x14ac:dyDescent="0.25">
      <c r="B144" s="22"/>
      <c r="G144" s="22"/>
    </row>
    <row r="145" spans="2:7" x14ac:dyDescent="0.25">
      <c r="B145" s="22"/>
      <c r="G145" s="22"/>
    </row>
    <row r="146" spans="2:7" x14ac:dyDescent="0.25">
      <c r="B146" s="22"/>
      <c r="G146" s="22"/>
    </row>
    <row r="147" spans="2:7" x14ac:dyDescent="0.25">
      <c r="B147" s="22"/>
      <c r="G147" s="22"/>
    </row>
    <row r="148" spans="2:7" x14ac:dyDescent="0.25">
      <c r="B148" s="22"/>
      <c r="G148" s="22"/>
    </row>
    <row r="149" spans="2:7" x14ac:dyDescent="0.25">
      <c r="B149" s="22"/>
      <c r="G149" s="22"/>
    </row>
    <row r="150" spans="2:7" x14ac:dyDescent="0.25">
      <c r="B150" s="22"/>
      <c r="G150" s="22"/>
    </row>
    <row r="151" spans="2:7" x14ac:dyDescent="0.25">
      <c r="B151" s="22"/>
      <c r="G151" s="22"/>
    </row>
    <row r="152" spans="2:7" x14ac:dyDescent="0.25">
      <c r="B152" s="22"/>
      <c r="G152" s="22"/>
    </row>
    <row r="153" spans="2:7" x14ac:dyDescent="0.25">
      <c r="B153" s="22"/>
      <c r="G153" s="22"/>
    </row>
    <row r="154" spans="2:7" x14ac:dyDescent="0.25">
      <c r="B154" s="22"/>
      <c r="G154" s="22"/>
    </row>
    <row r="155" spans="2:7" x14ac:dyDescent="0.25">
      <c r="B155" s="22"/>
      <c r="G155" s="22"/>
    </row>
    <row r="156" spans="2:7" x14ac:dyDescent="0.25">
      <c r="B156" s="22"/>
      <c r="G156" s="22"/>
    </row>
    <row r="157" spans="2:7" x14ac:dyDescent="0.25">
      <c r="B157" s="22"/>
      <c r="G157" s="22"/>
    </row>
    <row r="158" spans="2:7" x14ac:dyDescent="0.25">
      <c r="B158" s="22"/>
      <c r="G158" s="22"/>
    </row>
    <row r="159" spans="2:7" x14ac:dyDescent="0.25">
      <c r="B159" s="22"/>
      <c r="G159" s="22"/>
    </row>
    <row r="160" spans="2:7" x14ac:dyDescent="0.25">
      <c r="B160" s="22"/>
      <c r="G160" s="22"/>
    </row>
    <row r="161" spans="2:7" x14ac:dyDescent="0.25">
      <c r="B161" s="22"/>
      <c r="G161" s="22"/>
    </row>
    <row r="162" spans="2:7" x14ac:dyDescent="0.25">
      <c r="B162" s="22"/>
      <c r="G162" s="22"/>
    </row>
    <row r="163" spans="2:7" x14ac:dyDescent="0.25">
      <c r="B163" s="22"/>
      <c r="G163" s="22"/>
    </row>
    <row r="164" spans="2:7" x14ac:dyDescent="0.25">
      <c r="B164" s="22"/>
      <c r="G164" s="22"/>
    </row>
    <row r="165" spans="2:7" x14ac:dyDescent="0.25">
      <c r="B165" s="22"/>
      <c r="G165" s="22"/>
    </row>
    <row r="166" spans="2:7" x14ac:dyDescent="0.25">
      <c r="B166" s="22"/>
      <c r="G166" s="22"/>
    </row>
    <row r="167" spans="2:7" x14ac:dyDescent="0.25">
      <c r="B167" s="22"/>
      <c r="G167" s="22"/>
    </row>
    <row r="168" spans="2:7" x14ac:dyDescent="0.25">
      <c r="B168" s="22"/>
      <c r="G168" s="22"/>
    </row>
    <row r="169" spans="2:7" x14ac:dyDescent="0.25">
      <c r="B169" s="22"/>
      <c r="G169" s="22"/>
    </row>
    <row r="170" spans="2:7" x14ac:dyDescent="0.25">
      <c r="B170" s="22"/>
      <c r="G170" s="22"/>
    </row>
    <row r="171" spans="2:7" x14ac:dyDescent="0.25">
      <c r="B171" s="22"/>
      <c r="G171" s="22"/>
    </row>
    <row r="172" spans="2:7" x14ac:dyDescent="0.25">
      <c r="B172" s="22"/>
      <c r="G172" s="22"/>
    </row>
    <row r="173" spans="2:7" x14ac:dyDescent="0.25">
      <c r="B173" s="22"/>
      <c r="G173" s="22"/>
    </row>
    <row r="174" spans="2:7" x14ac:dyDescent="0.25">
      <c r="B174" s="22"/>
      <c r="G174" s="22"/>
    </row>
    <row r="175" spans="2:7" x14ac:dyDescent="0.25">
      <c r="B175" s="22"/>
      <c r="G175" s="22"/>
    </row>
    <row r="176" spans="2:7" x14ac:dyDescent="0.25">
      <c r="B176" s="22"/>
      <c r="G176" s="22"/>
    </row>
    <row r="177" spans="2:7" x14ac:dyDescent="0.25">
      <c r="B177" s="22"/>
      <c r="G177" s="22"/>
    </row>
    <row r="178" spans="2:7" x14ac:dyDescent="0.25">
      <c r="B178" s="22"/>
      <c r="G178" s="22"/>
    </row>
    <row r="179" spans="2:7" x14ac:dyDescent="0.25">
      <c r="B179" s="22"/>
      <c r="G179" s="22"/>
    </row>
    <row r="180" spans="2:7" x14ac:dyDescent="0.25">
      <c r="B180" s="22"/>
      <c r="G180" s="22"/>
    </row>
    <row r="181" spans="2:7" x14ac:dyDescent="0.25">
      <c r="B181" s="22"/>
      <c r="G181" s="22"/>
    </row>
    <row r="182" spans="2:7" x14ac:dyDescent="0.25">
      <c r="B182" s="22"/>
      <c r="G182" s="22"/>
    </row>
    <row r="183" spans="2:7" x14ac:dyDescent="0.25">
      <c r="B183" s="22"/>
      <c r="G183" s="22"/>
    </row>
    <row r="184" spans="2:7" x14ac:dyDescent="0.25">
      <c r="B184" s="22"/>
      <c r="G184" s="22"/>
    </row>
    <row r="185" spans="2:7" x14ac:dyDescent="0.25">
      <c r="B185" s="22"/>
      <c r="G185" s="22"/>
    </row>
    <row r="186" spans="2:7" x14ac:dyDescent="0.25">
      <c r="B186" s="22"/>
      <c r="G186" s="22"/>
    </row>
    <row r="187" spans="2:7" x14ac:dyDescent="0.25">
      <c r="B187" s="22"/>
      <c r="G187" s="22"/>
    </row>
    <row r="188" spans="2:7" x14ac:dyDescent="0.25">
      <c r="B188" s="22"/>
      <c r="G188" s="22"/>
    </row>
    <row r="189" spans="2:7" x14ac:dyDescent="0.25">
      <c r="B189" s="22"/>
      <c r="G189" s="22"/>
    </row>
    <row r="190" spans="2:7" x14ac:dyDescent="0.25">
      <c r="B190" s="22"/>
      <c r="G190" s="22"/>
    </row>
    <row r="191" spans="2:7" x14ac:dyDescent="0.25">
      <c r="B191" s="22"/>
      <c r="G191" s="22"/>
    </row>
    <row r="192" spans="2:7" x14ac:dyDescent="0.25">
      <c r="B192" s="22"/>
      <c r="G192" s="22"/>
    </row>
    <row r="193" spans="2:7" x14ac:dyDescent="0.25">
      <c r="B193" s="22"/>
      <c r="G193" s="22"/>
    </row>
    <row r="194" spans="2:7" x14ac:dyDescent="0.25">
      <c r="B194" s="22"/>
      <c r="G194" s="22"/>
    </row>
    <row r="195" spans="2:7" x14ac:dyDescent="0.25">
      <c r="B195" s="22"/>
      <c r="G195" s="22"/>
    </row>
    <row r="196" spans="2:7" x14ac:dyDescent="0.25">
      <c r="B196" s="22"/>
      <c r="G196" s="22"/>
    </row>
    <row r="197" spans="2:7" x14ac:dyDescent="0.25">
      <c r="B197" s="22"/>
      <c r="G197" s="22"/>
    </row>
    <row r="198" spans="2:7" x14ac:dyDescent="0.25">
      <c r="B198" s="22"/>
      <c r="G198" s="22"/>
    </row>
    <row r="199" spans="2:7" x14ac:dyDescent="0.25">
      <c r="B199" s="22"/>
      <c r="G199" s="22"/>
    </row>
    <row r="200" spans="2:7" x14ac:dyDescent="0.25">
      <c r="B200" s="22"/>
      <c r="G200" s="22"/>
    </row>
  </sheetData>
  <mergeCells count="2">
    <mergeCell ref="A1:H1"/>
    <mergeCell ref="A2:H2"/>
  </mergeCells>
  <conditionalFormatting sqref="C5:C10">
    <cfRule type="expression" dxfId="17" priority="1">
      <formula>C5="Pendiente"</formula>
    </cfRule>
    <cfRule type="expression" dxfId="16" priority="2">
      <formula>C5="En curso"</formula>
    </cfRule>
    <cfRule type="expression" dxfId="15" priority="3">
      <formula>C5="Bloqueado"</formula>
    </cfRule>
    <cfRule type="expression" dxfId="14" priority="4">
      <formula>C5="Por validar"</formula>
    </cfRule>
    <cfRule type="expression" dxfId="13" priority="5">
      <formula>C5="Resuelto"</formula>
    </cfRule>
    <cfRule type="expression" dxfId="12" priority="6">
      <formula>C5="Descartado"</formula>
    </cfRule>
  </conditionalFormatting>
  <dataValidations count="2">
    <dataValidation type="list" sqref="C5:C200" xr:uid="{00000000-0002-0000-1900-000000000000}">
      <formula1>"Pendiente,En curso,Bloqueado,Por validar,Resuelto,Descartado"</formula1>
    </dataValidation>
    <dataValidation type="list" sqref="D5:D200" xr:uid="{00000000-0002-0000-1900-000001000000}">
      <formula1>"Alta,Media,Baja"</formula1>
    </dataValidation>
  </dataValidations>
  <hyperlinks>
    <hyperlink ref="J1" location="'Indice'!A1" display="↩ Índice" xr:uid="{00000000-0004-0000-1900-000000000000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200"/>
  <sheetViews>
    <sheetView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1" width="18" customWidth="1"/>
    <col min="2" max="2" width="55" customWidth="1"/>
    <col min="3" max="3" width="18" customWidth="1"/>
    <col min="4" max="4" width="14" customWidth="1"/>
    <col min="5" max="5" width="20" customWidth="1"/>
    <col min="6" max="6" width="16" customWidth="1"/>
    <col min="7" max="7" width="72" customWidth="1"/>
    <col min="8" max="8" width="16" customWidth="1"/>
    <col min="9" max="9" width="3" customWidth="1"/>
    <col min="10" max="10" width="12" customWidth="1"/>
  </cols>
  <sheetData>
    <row r="1" spans="1:10" ht="30" customHeight="1" x14ac:dyDescent="0.25">
      <c r="A1" s="55" t="s">
        <v>60</v>
      </c>
      <c r="B1" s="55"/>
      <c r="C1" s="55"/>
      <c r="D1" s="55"/>
      <c r="E1" s="55"/>
      <c r="F1" s="55"/>
      <c r="G1" s="55"/>
      <c r="H1" s="55"/>
      <c r="J1" s="29" t="s">
        <v>96</v>
      </c>
    </row>
    <row r="2" spans="1:10" ht="30" customHeight="1" x14ac:dyDescent="0.25">
      <c r="A2" s="37" t="s">
        <v>469</v>
      </c>
      <c r="B2" s="37"/>
      <c r="C2" s="37"/>
      <c r="D2" s="37"/>
      <c r="E2" s="37"/>
      <c r="F2" s="37"/>
      <c r="G2" s="37"/>
      <c r="H2" s="37"/>
    </row>
    <row r="4" spans="1:10" ht="30" customHeight="1" x14ac:dyDescent="0.25">
      <c r="A4" s="34" t="s">
        <v>149</v>
      </c>
      <c r="B4" s="34" t="s">
        <v>150</v>
      </c>
      <c r="C4" s="34" t="s">
        <v>68</v>
      </c>
      <c r="D4" s="34" t="s">
        <v>151</v>
      </c>
      <c r="E4" s="34" t="s">
        <v>152</v>
      </c>
      <c r="F4" s="34" t="s">
        <v>153</v>
      </c>
      <c r="G4" s="34" t="s">
        <v>154</v>
      </c>
      <c r="H4" s="34" t="s">
        <v>155</v>
      </c>
      <c r="I4" s="22"/>
      <c r="J4" s="22"/>
    </row>
    <row r="5" spans="1:10" ht="26.45" customHeight="1" x14ac:dyDescent="0.25">
      <c r="A5" s="35" t="s">
        <v>541</v>
      </c>
      <c r="B5" s="35" t="s">
        <v>542</v>
      </c>
      <c r="C5" s="35" t="s">
        <v>75</v>
      </c>
      <c r="D5" s="35" t="s">
        <v>158</v>
      </c>
      <c r="E5" s="35" t="s">
        <v>543</v>
      </c>
      <c r="F5" s="35">
        <v>5</v>
      </c>
      <c r="G5" s="35" t="s">
        <v>544</v>
      </c>
      <c r="H5" s="35"/>
      <c r="I5" s="28"/>
      <c r="J5" s="28"/>
    </row>
    <row r="6" spans="1:10" ht="26.45" customHeight="1" x14ac:dyDescent="0.25">
      <c r="A6" s="36" t="s">
        <v>545</v>
      </c>
      <c r="B6" s="36" t="s">
        <v>546</v>
      </c>
      <c r="C6" s="36" t="s">
        <v>75</v>
      </c>
      <c r="D6" s="36" t="s">
        <v>158</v>
      </c>
      <c r="E6" s="36" t="s">
        <v>186</v>
      </c>
      <c r="F6" s="36">
        <v>6</v>
      </c>
      <c r="G6" s="36" t="s">
        <v>547</v>
      </c>
      <c r="H6" s="36"/>
      <c r="I6" s="28"/>
      <c r="J6" s="28"/>
    </row>
    <row r="7" spans="1:10" ht="26.45" customHeight="1" x14ac:dyDescent="0.25">
      <c r="A7" s="35" t="s">
        <v>548</v>
      </c>
      <c r="B7" s="35" t="s">
        <v>549</v>
      </c>
      <c r="C7" s="35" t="s">
        <v>75</v>
      </c>
      <c r="D7" s="35" t="s">
        <v>158</v>
      </c>
      <c r="E7" s="35" t="s">
        <v>550</v>
      </c>
      <c r="F7" s="35">
        <v>6</v>
      </c>
      <c r="G7" s="35" t="s">
        <v>551</v>
      </c>
      <c r="H7" s="35"/>
      <c r="I7" s="28"/>
      <c r="J7" s="28"/>
    </row>
    <row r="8" spans="1:10" ht="26.45" customHeight="1" x14ac:dyDescent="0.25">
      <c r="A8" s="36" t="s">
        <v>552</v>
      </c>
      <c r="B8" s="36" t="s">
        <v>553</v>
      </c>
      <c r="C8" s="36" t="s">
        <v>75</v>
      </c>
      <c r="D8" s="36" t="s">
        <v>158</v>
      </c>
      <c r="E8" s="36" t="s">
        <v>159</v>
      </c>
      <c r="F8" s="36">
        <v>5</v>
      </c>
      <c r="G8" s="36" t="s">
        <v>554</v>
      </c>
      <c r="H8" s="36"/>
      <c r="I8" s="28"/>
      <c r="J8" s="28"/>
    </row>
    <row r="9" spans="1:10" ht="15" customHeight="1" x14ac:dyDescent="0.25">
      <c r="A9" s="35" t="s">
        <v>555</v>
      </c>
      <c r="B9" s="35" t="s">
        <v>556</v>
      </c>
      <c r="C9" s="35" t="s">
        <v>72</v>
      </c>
      <c r="D9" s="35" t="s">
        <v>163</v>
      </c>
      <c r="E9" s="35" t="s">
        <v>557</v>
      </c>
      <c r="F9" s="35">
        <v>8</v>
      </c>
      <c r="G9" s="35" t="s">
        <v>558</v>
      </c>
      <c r="H9" s="35"/>
      <c r="I9" s="28"/>
      <c r="J9" s="28"/>
    </row>
    <row r="10" spans="1:10" ht="26.45" customHeight="1" x14ac:dyDescent="0.25">
      <c r="A10" s="30" t="s">
        <v>559</v>
      </c>
      <c r="B10" s="30" t="s">
        <v>560</v>
      </c>
      <c r="C10" s="30" t="s">
        <v>75</v>
      </c>
      <c r="D10" s="30" t="s">
        <v>158</v>
      </c>
      <c r="E10" s="30" t="s">
        <v>561</v>
      </c>
      <c r="F10" s="30">
        <v>5</v>
      </c>
      <c r="G10" s="30" t="s">
        <v>562</v>
      </c>
      <c r="H10" s="30"/>
      <c r="I10" s="28"/>
      <c r="J10" s="28"/>
    </row>
    <row r="11" spans="1:10" x14ac:dyDescent="0.25">
      <c r="B11" s="22"/>
      <c r="G11" s="22"/>
    </row>
    <row r="12" spans="1:10" x14ac:dyDescent="0.25">
      <c r="B12" s="22"/>
      <c r="G12" s="22"/>
    </row>
    <row r="13" spans="1:10" x14ac:dyDescent="0.25">
      <c r="B13" s="22"/>
      <c r="G13" s="22"/>
    </row>
    <row r="14" spans="1:10" x14ac:dyDescent="0.25">
      <c r="B14" s="22"/>
      <c r="G14" s="22"/>
    </row>
    <row r="15" spans="1:10" x14ac:dyDescent="0.25">
      <c r="B15" s="22"/>
      <c r="G15" s="22"/>
    </row>
    <row r="16" spans="1:10" x14ac:dyDescent="0.25">
      <c r="B16" s="22"/>
      <c r="G16" s="22"/>
    </row>
    <row r="17" spans="2:7" x14ac:dyDescent="0.25">
      <c r="B17" s="22"/>
      <c r="G17" s="22"/>
    </row>
    <row r="18" spans="2:7" x14ac:dyDescent="0.25">
      <c r="B18" s="22"/>
      <c r="G18" s="22"/>
    </row>
    <row r="19" spans="2:7" x14ac:dyDescent="0.25">
      <c r="B19" s="22"/>
      <c r="G19" s="22"/>
    </row>
    <row r="20" spans="2:7" x14ac:dyDescent="0.25">
      <c r="B20" s="22"/>
      <c r="G20" s="22"/>
    </row>
    <row r="21" spans="2:7" x14ac:dyDescent="0.25">
      <c r="B21" s="22"/>
      <c r="G21" s="22"/>
    </row>
    <row r="22" spans="2:7" x14ac:dyDescent="0.25">
      <c r="B22" s="22"/>
      <c r="G22" s="22"/>
    </row>
    <row r="23" spans="2:7" x14ac:dyDescent="0.25">
      <c r="B23" s="22"/>
      <c r="G23" s="22"/>
    </row>
    <row r="24" spans="2:7" x14ac:dyDescent="0.25">
      <c r="B24" s="22"/>
      <c r="G24" s="22"/>
    </row>
    <row r="25" spans="2:7" x14ac:dyDescent="0.25">
      <c r="B25" s="22"/>
      <c r="G25" s="22"/>
    </row>
    <row r="26" spans="2:7" x14ac:dyDescent="0.25">
      <c r="B26" s="22"/>
      <c r="G26" s="22"/>
    </row>
    <row r="27" spans="2:7" x14ac:dyDescent="0.25">
      <c r="B27" s="22"/>
      <c r="G27" s="22"/>
    </row>
    <row r="28" spans="2:7" x14ac:dyDescent="0.25">
      <c r="B28" s="22"/>
      <c r="G28" s="22"/>
    </row>
    <row r="29" spans="2:7" x14ac:dyDescent="0.25">
      <c r="B29" s="22"/>
      <c r="G29" s="22"/>
    </row>
    <row r="30" spans="2:7" x14ac:dyDescent="0.25">
      <c r="B30" s="22"/>
      <c r="G30" s="22"/>
    </row>
    <row r="31" spans="2:7" x14ac:dyDescent="0.25">
      <c r="B31" s="22"/>
      <c r="G31" s="22"/>
    </row>
    <row r="32" spans="2:7" x14ac:dyDescent="0.25">
      <c r="B32" s="22"/>
      <c r="G32" s="22"/>
    </row>
    <row r="33" spans="2:7" x14ac:dyDescent="0.25">
      <c r="B33" s="22"/>
      <c r="G33" s="22"/>
    </row>
    <row r="34" spans="2:7" x14ac:dyDescent="0.25">
      <c r="B34" s="22"/>
      <c r="G34" s="22"/>
    </row>
    <row r="35" spans="2:7" x14ac:dyDescent="0.25">
      <c r="B35" s="22"/>
      <c r="G35" s="22"/>
    </row>
    <row r="36" spans="2:7" x14ac:dyDescent="0.25">
      <c r="B36" s="22"/>
      <c r="G36" s="22"/>
    </row>
    <row r="37" spans="2:7" x14ac:dyDescent="0.25">
      <c r="B37" s="22"/>
      <c r="G37" s="22"/>
    </row>
    <row r="38" spans="2:7" x14ac:dyDescent="0.25">
      <c r="B38" s="22"/>
      <c r="G38" s="22"/>
    </row>
    <row r="39" spans="2:7" x14ac:dyDescent="0.25">
      <c r="B39" s="22"/>
      <c r="G39" s="22"/>
    </row>
    <row r="40" spans="2:7" x14ac:dyDescent="0.25">
      <c r="B40" s="22"/>
      <c r="G40" s="22"/>
    </row>
    <row r="41" spans="2:7" x14ac:dyDescent="0.25">
      <c r="B41" s="22"/>
      <c r="G41" s="22"/>
    </row>
    <row r="42" spans="2:7" x14ac:dyDescent="0.25">
      <c r="B42" s="22"/>
      <c r="G42" s="22"/>
    </row>
    <row r="43" spans="2:7" x14ac:dyDescent="0.25">
      <c r="B43" s="22"/>
      <c r="G43" s="22"/>
    </row>
    <row r="44" spans="2:7" x14ac:dyDescent="0.25">
      <c r="B44" s="22"/>
      <c r="G44" s="22"/>
    </row>
    <row r="45" spans="2:7" x14ac:dyDescent="0.25">
      <c r="B45" s="22"/>
      <c r="G45" s="22"/>
    </row>
    <row r="46" spans="2:7" x14ac:dyDescent="0.25">
      <c r="B46" s="22"/>
      <c r="G46" s="22"/>
    </row>
    <row r="47" spans="2:7" x14ac:dyDescent="0.25">
      <c r="B47" s="22"/>
      <c r="G47" s="22"/>
    </row>
    <row r="48" spans="2:7" x14ac:dyDescent="0.25">
      <c r="B48" s="22"/>
      <c r="G48" s="22"/>
    </row>
    <row r="49" spans="2:7" x14ac:dyDescent="0.25">
      <c r="B49" s="22"/>
      <c r="G49" s="22"/>
    </row>
    <row r="50" spans="2:7" x14ac:dyDescent="0.25">
      <c r="B50" s="22"/>
      <c r="G50" s="22"/>
    </row>
    <row r="51" spans="2:7" x14ac:dyDescent="0.25">
      <c r="B51" s="22"/>
      <c r="G51" s="22"/>
    </row>
    <row r="52" spans="2:7" x14ac:dyDescent="0.25">
      <c r="B52" s="22"/>
      <c r="G52" s="22"/>
    </row>
    <row r="53" spans="2:7" x14ac:dyDescent="0.25">
      <c r="B53" s="22"/>
      <c r="G53" s="22"/>
    </row>
    <row r="54" spans="2:7" x14ac:dyDescent="0.25">
      <c r="B54" s="22"/>
      <c r="G54" s="22"/>
    </row>
    <row r="55" spans="2:7" x14ac:dyDescent="0.25">
      <c r="B55" s="22"/>
      <c r="G55" s="22"/>
    </row>
    <row r="56" spans="2:7" x14ac:dyDescent="0.25">
      <c r="B56" s="22"/>
      <c r="G56" s="22"/>
    </row>
    <row r="57" spans="2:7" x14ac:dyDescent="0.25">
      <c r="B57" s="22"/>
      <c r="G57" s="22"/>
    </row>
    <row r="58" spans="2:7" x14ac:dyDescent="0.25">
      <c r="B58" s="22"/>
      <c r="G58" s="22"/>
    </row>
    <row r="59" spans="2:7" x14ac:dyDescent="0.25">
      <c r="B59" s="22"/>
      <c r="G59" s="22"/>
    </row>
    <row r="60" spans="2:7" x14ac:dyDescent="0.25">
      <c r="B60" s="22"/>
      <c r="G60" s="22"/>
    </row>
    <row r="61" spans="2:7" x14ac:dyDescent="0.25">
      <c r="B61" s="22"/>
      <c r="G61" s="22"/>
    </row>
    <row r="62" spans="2:7" x14ac:dyDescent="0.25">
      <c r="B62" s="22"/>
      <c r="G62" s="22"/>
    </row>
    <row r="63" spans="2:7" x14ac:dyDescent="0.25">
      <c r="B63" s="22"/>
      <c r="G63" s="22"/>
    </row>
    <row r="64" spans="2:7" x14ac:dyDescent="0.25">
      <c r="B64" s="22"/>
      <c r="G64" s="22"/>
    </row>
    <row r="65" spans="2:7" x14ac:dyDescent="0.25">
      <c r="B65" s="22"/>
      <c r="G65" s="22"/>
    </row>
    <row r="66" spans="2:7" x14ac:dyDescent="0.25">
      <c r="B66" s="22"/>
      <c r="G66" s="22"/>
    </row>
    <row r="67" spans="2:7" x14ac:dyDescent="0.25">
      <c r="B67" s="22"/>
      <c r="G67" s="22"/>
    </row>
    <row r="68" spans="2:7" x14ac:dyDescent="0.25">
      <c r="B68" s="22"/>
      <c r="G68" s="22"/>
    </row>
    <row r="69" spans="2:7" x14ac:dyDescent="0.25">
      <c r="B69" s="22"/>
      <c r="G69" s="22"/>
    </row>
    <row r="70" spans="2:7" x14ac:dyDescent="0.25">
      <c r="B70" s="22"/>
      <c r="G70" s="22"/>
    </row>
    <row r="71" spans="2:7" x14ac:dyDescent="0.25">
      <c r="B71" s="22"/>
      <c r="G71" s="22"/>
    </row>
    <row r="72" spans="2:7" x14ac:dyDescent="0.25">
      <c r="B72" s="22"/>
      <c r="G72" s="22"/>
    </row>
    <row r="73" spans="2:7" x14ac:dyDescent="0.25">
      <c r="B73" s="22"/>
      <c r="G73" s="22"/>
    </row>
    <row r="74" spans="2:7" x14ac:dyDescent="0.25">
      <c r="B74" s="22"/>
      <c r="G74" s="22"/>
    </row>
    <row r="75" spans="2:7" x14ac:dyDescent="0.25">
      <c r="B75" s="22"/>
      <c r="G75" s="22"/>
    </row>
    <row r="76" spans="2:7" x14ac:dyDescent="0.25">
      <c r="B76" s="22"/>
      <c r="G76" s="22"/>
    </row>
    <row r="77" spans="2:7" x14ac:dyDescent="0.25">
      <c r="B77" s="22"/>
      <c r="G77" s="22"/>
    </row>
    <row r="78" spans="2:7" x14ac:dyDescent="0.25">
      <c r="B78" s="22"/>
      <c r="G78" s="22"/>
    </row>
    <row r="79" spans="2:7" x14ac:dyDescent="0.25">
      <c r="B79" s="22"/>
      <c r="G79" s="22"/>
    </row>
    <row r="80" spans="2:7" x14ac:dyDescent="0.25">
      <c r="B80" s="22"/>
      <c r="G80" s="22"/>
    </row>
    <row r="81" spans="2:7" x14ac:dyDescent="0.25">
      <c r="B81" s="22"/>
      <c r="G81" s="22"/>
    </row>
    <row r="82" spans="2:7" x14ac:dyDescent="0.25">
      <c r="B82" s="22"/>
      <c r="G82" s="22"/>
    </row>
    <row r="83" spans="2:7" x14ac:dyDescent="0.25">
      <c r="B83" s="22"/>
      <c r="G83" s="22"/>
    </row>
    <row r="84" spans="2:7" x14ac:dyDescent="0.25">
      <c r="B84" s="22"/>
      <c r="G84" s="22"/>
    </row>
    <row r="85" spans="2:7" x14ac:dyDescent="0.25">
      <c r="B85" s="22"/>
      <c r="G85" s="22"/>
    </row>
    <row r="86" spans="2:7" x14ac:dyDescent="0.25">
      <c r="B86" s="22"/>
      <c r="G86" s="22"/>
    </row>
    <row r="87" spans="2:7" x14ac:dyDescent="0.25">
      <c r="B87" s="22"/>
      <c r="G87" s="22"/>
    </row>
    <row r="88" spans="2:7" x14ac:dyDescent="0.25">
      <c r="B88" s="22"/>
      <c r="G88" s="22"/>
    </row>
    <row r="89" spans="2:7" x14ac:dyDescent="0.25">
      <c r="B89" s="22"/>
      <c r="G89" s="22"/>
    </row>
    <row r="90" spans="2:7" x14ac:dyDescent="0.25">
      <c r="B90" s="22"/>
      <c r="G90" s="22"/>
    </row>
    <row r="91" spans="2:7" x14ac:dyDescent="0.25">
      <c r="B91" s="22"/>
      <c r="G91" s="22"/>
    </row>
    <row r="92" spans="2:7" x14ac:dyDescent="0.25">
      <c r="B92" s="22"/>
      <c r="G92" s="22"/>
    </row>
    <row r="93" spans="2:7" x14ac:dyDescent="0.25">
      <c r="B93" s="22"/>
      <c r="G93" s="22"/>
    </row>
    <row r="94" spans="2:7" x14ac:dyDescent="0.25">
      <c r="B94" s="22"/>
      <c r="G94" s="22"/>
    </row>
    <row r="95" spans="2:7" x14ac:dyDescent="0.25">
      <c r="B95" s="22"/>
      <c r="G95" s="22"/>
    </row>
    <row r="96" spans="2:7" x14ac:dyDescent="0.25">
      <c r="B96" s="22"/>
      <c r="G96" s="22"/>
    </row>
    <row r="97" spans="2:7" x14ac:dyDescent="0.25">
      <c r="B97" s="22"/>
      <c r="G97" s="22"/>
    </row>
    <row r="98" spans="2:7" x14ac:dyDescent="0.25">
      <c r="B98" s="22"/>
      <c r="G98" s="22"/>
    </row>
    <row r="99" spans="2:7" x14ac:dyDescent="0.25">
      <c r="B99" s="22"/>
      <c r="G99" s="22"/>
    </row>
    <row r="100" spans="2:7" x14ac:dyDescent="0.25">
      <c r="B100" s="22"/>
      <c r="G100" s="22"/>
    </row>
    <row r="101" spans="2:7" x14ac:dyDescent="0.25">
      <c r="B101" s="22"/>
      <c r="G101" s="22"/>
    </row>
    <row r="102" spans="2:7" x14ac:dyDescent="0.25">
      <c r="B102" s="22"/>
      <c r="G102" s="22"/>
    </row>
    <row r="103" spans="2:7" x14ac:dyDescent="0.25">
      <c r="B103" s="22"/>
      <c r="G103" s="22"/>
    </row>
    <row r="104" spans="2:7" x14ac:dyDescent="0.25">
      <c r="B104" s="22"/>
      <c r="G104" s="22"/>
    </row>
    <row r="105" spans="2:7" x14ac:dyDescent="0.25">
      <c r="B105" s="22"/>
      <c r="G105" s="22"/>
    </row>
    <row r="106" spans="2:7" x14ac:dyDescent="0.25">
      <c r="B106" s="22"/>
      <c r="G106" s="22"/>
    </row>
    <row r="107" spans="2:7" x14ac:dyDescent="0.25">
      <c r="B107" s="22"/>
      <c r="G107" s="22"/>
    </row>
    <row r="108" spans="2:7" x14ac:dyDescent="0.25">
      <c r="B108" s="22"/>
      <c r="G108" s="22"/>
    </row>
    <row r="109" spans="2:7" x14ac:dyDescent="0.25">
      <c r="B109" s="22"/>
      <c r="G109" s="22"/>
    </row>
    <row r="110" spans="2:7" x14ac:dyDescent="0.25">
      <c r="B110" s="22"/>
      <c r="G110" s="22"/>
    </row>
    <row r="111" spans="2:7" x14ac:dyDescent="0.25">
      <c r="B111" s="22"/>
      <c r="G111" s="22"/>
    </row>
    <row r="112" spans="2:7" x14ac:dyDescent="0.25">
      <c r="B112" s="22"/>
      <c r="G112" s="22"/>
    </row>
    <row r="113" spans="2:7" x14ac:dyDescent="0.25">
      <c r="B113" s="22"/>
      <c r="G113" s="22"/>
    </row>
    <row r="114" spans="2:7" x14ac:dyDescent="0.25">
      <c r="B114" s="22"/>
      <c r="G114" s="22"/>
    </row>
    <row r="115" spans="2:7" x14ac:dyDescent="0.25">
      <c r="B115" s="22"/>
      <c r="G115" s="22"/>
    </row>
    <row r="116" spans="2:7" x14ac:dyDescent="0.25">
      <c r="B116" s="22"/>
      <c r="G116" s="22"/>
    </row>
    <row r="117" spans="2:7" x14ac:dyDescent="0.25">
      <c r="B117" s="22"/>
      <c r="G117" s="22"/>
    </row>
    <row r="118" spans="2:7" x14ac:dyDescent="0.25">
      <c r="B118" s="22"/>
      <c r="G118" s="22"/>
    </row>
    <row r="119" spans="2:7" x14ac:dyDescent="0.25">
      <c r="B119" s="22"/>
      <c r="G119" s="22"/>
    </row>
    <row r="120" spans="2:7" x14ac:dyDescent="0.25">
      <c r="B120" s="22"/>
      <c r="G120" s="22"/>
    </row>
    <row r="121" spans="2:7" x14ac:dyDescent="0.25">
      <c r="B121" s="22"/>
      <c r="G121" s="22"/>
    </row>
    <row r="122" spans="2:7" x14ac:dyDescent="0.25">
      <c r="B122" s="22"/>
      <c r="G122" s="22"/>
    </row>
    <row r="123" spans="2:7" x14ac:dyDescent="0.25">
      <c r="B123" s="22"/>
      <c r="G123" s="22"/>
    </row>
    <row r="124" spans="2:7" x14ac:dyDescent="0.25">
      <c r="B124" s="22"/>
      <c r="G124" s="22"/>
    </row>
    <row r="125" spans="2:7" x14ac:dyDescent="0.25">
      <c r="B125" s="22"/>
      <c r="G125" s="22"/>
    </row>
    <row r="126" spans="2:7" x14ac:dyDescent="0.25">
      <c r="B126" s="22"/>
      <c r="G126" s="22"/>
    </row>
    <row r="127" spans="2:7" x14ac:dyDescent="0.25">
      <c r="B127" s="22"/>
      <c r="G127" s="22"/>
    </row>
    <row r="128" spans="2:7" x14ac:dyDescent="0.25">
      <c r="B128" s="22"/>
      <c r="G128" s="22"/>
    </row>
    <row r="129" spans="2:7" x14ac:dyDescent="0.25">
      <c r="B129" s="22"/>
      <c r="G129" s="22"/>
    </row>
    <row r="130" spans="2:7" x14ac:dyDescent="0.25">
      <c r="B130" s="22"/>
      <c r="G130" s="22"/>
    </row>
    <row r="131" spans="2:7" x14ac:dyDescent="0.25">
      <c r="B131" s="22"/>
      <c r="G131" s="22"/>
    </row>
    <row r="132" spans="2:7" x14ac:dyDescent="0.25">
      <c r="B132" s="22"/>
      <c r="G132" s="22"/>
    </row>
    <row r="133" spans="2:7" x14ac:dyDescent="0.25">
      <c r="B133" s="22"/>
      <c r="G133" s="22"/>
    </row>
    <row r="134" spans="2:7" x14ac:dyDescent="0.25">
      <c r="B134" s="22"/>
      <c r="G134" s="22"/>
    </row>
    <row r="135" spans="2:7" x14ac:dyDescent="0.25">
      <c r="B135" s="22"/>
      <c r="G135" s="22"/>
    </row>
    <row r="136" spans="2:7" x14ac:dyDescent="0.25">
      <c r="B136" s="22"/>
      <c r="G136" s="22"/>
    </row>
    <row r="137" spans="2:7" x14ac:dyDescent="0.25">
      <c r="B137" s="22"/>
      <c r="G137" s="22"/>
    </row>
    <row r="138" spans="2:7" x14ac:dyDescent="0.25">
      <c r="B138" s="22"/>
      <c r="G138" s="22"/>
    </row>
    <row r="139" spans="2:7" x14ac:dyDescent="0.25">
      <c r="B139" s="22"/>
      <c r="G139" s="22"/>
    </row>
    <row r="140" spans="2:7" x14ac:dyDescent="0.25">
      <c r="B140" s="22"/>
      <c r="G140" s="22"/>
    </row>
    <row r="141" spans="2:7" x14ac:dyDescent="0.25">
      <c r="B141" s="22"/>
      <c r="G141" s="22"/>
    </row>
    <row r="142" spans="2:7" x14ac:dyDescent="0.25">
      <c r="B142" s="22"/>
      <c r="G142" s="22"/>
    </row>
    <row r="143" spans="2:7" x14ac:dyDescent="0.25">
      <c r="B143" s="22"/>
      <c r="G143" s="22"/>
    </row>
    <row r="144" spans="2:7" x14ac:dyDescent="0.25">
      <c r="B144" s="22"/>
      <c r="G144" s="22"/>
    </row>
    <row r="145" spans="2:7" x14ac:dyDescent="0.25">
      <c r="B145" s="22"/>
      <c r="G145" s="22"/>
    </row>
    <row r="146" spans="2:7" x14ac:dyDescent="0.25">
      <c r="B146" s="22"/>
      <c r="G146" s="22"/>
    </row>
    <row r="147" spans="2:7" x14ac:dyDescent="0.25">
      <c r="B147" s="22"/>
      <c r="G147" s="22"/>
    </row>
    <row r="148" spans="2:7" x14ac:dyDescent="0.25">
      <c r="B148" s="22"/>
      <c r="G148" s="22"/>
    </row>
    <row r="149" spans="2:7" x14ac:dyDescent="0.25">
      <c r="B149" s="22"/>
      <c r="G149" s="22"/>
    </row>
    <row r="150" spans="2:7" x14ac:dyDescent="0.25">
      <c r="B150" s="22"/>
      <c r="G150" s="22"/>
    </row>
    <row r="151" spans="2:7" x14ac:dyDescent="0.25">
      <c r="B151" s="22"/>
      <c r="G151" s="22"/>
    </row>
    <row r="152" spans="2:7" x14ac:dyDescent="0.25">
      <c r="B152" s="22"/>
      <c r="G152" s="22"/>
    </row>
    <row r="153" spans="2:7" x14ac:dyDescent="0.25">
      <c r="B153" s="22"/>
      <c r="G153" s="22"/>
    </row>
    <row r="154" spans="2:7" x14ac:dyDescent="0.25">
      <c r="B154" s="22"/>
      <c r="G154" s="22"/>
    </row>
    <row r="155" spans="2:7" x14ac:dyDescent="0.25">
      <c r="B155" s="22"/>
      <c r="G155" s="22"/>
    </row>
    <row r="156" spans="2:7" x14ac:dyDescent="0.25">
      <c r="B156" s="22"/>
      <c r="G156" s="22"/>
    </row>
    <row r="157" spans="2:7" x14ac:dyDescent="0.25">
      <c r="B157" s="22"/>
      <c r="G157" s="22"/>
    </row>
    <row r="158" spans="2:7" x14ac:dyDescent="0.25">
      <c r="B158" s="22"/>
      <c r="G158" s="22"/>
    </row>
    <row r="159" spans="2:7" x14ac:dyDescent="0.25">
      <c r="B159" s="22"/>
      <c r="G159" s="22"/>
    </row>
    <row r="160" spans="2:7" x14ac:dyDescent="0.25">
      <c r="B160" s="22"/>
      <c r="G160" s="22"/>
    </row>
    <row r="161" spans="2:7" x14ac:dyDescent="0.25">
      <c r="B161" s="22"/>
      <c r="G161" s="22"/>
    </row>
    <row r="162" spans="2:7" x14ac:dyDescent="0.25">
      <c r="B162" s="22"/>
      <c r="G162" s="22"/>
    </row>
    <row r="163" spans="2:7" x14ac:dyDescent="0.25">
      <c r="B163" s="22"/>
      <c r="G163" s="22"/>
    </row>
    <row r="164" spans="2:7" x14ac:dyDescent="0.25">
      <c r="B164" s="22"/>
      <c r="G164" s="22"/>
    </row>
    <row r="165" spans="2:7" x14ac:dyDescent="0.25">
      <c r="B165" s="22"/>
      <c r="G165" s="22"/>
    </row>
    <row r="166" spans="2:7" x14ac:dyDescent="0.25">
      <c r="B166" s="22"/>
      <c r="G166" s="22"/>
    </row>
    <row r="167" spans="2:7" x14ac:dyDescent="0.25">
      <c r="B167" s="22"/>
      <c r="G167" s="22"/>
    </row>
    <row r="168" spans="2:7" x14ac:dyDescent="0.25">
      <c r="B168" s="22"/>
      <c r="G168" s="22"/>
    </row>
    <row r="169" spans="2:7" x14ac:dyDescent="0.25">
      <c r="B169" s="22"/>
      <c r="G169" s="22"/>
    </row>
    <row r="170" spans="2:7" x14ac:dyDescent="0.25">
      <c r="B170" s="22"/>
      <c r="G170" s="22"/>
    </row>
    <row r="171" spans="2:7" x14ac:dyDescent="0.25">
      <c r="B171" s="22"/>
      <c r="G171" s="22"/>
    </row>
    <row r="172" spans="2:7" x14ac:dyDescent="0.25">
      <c r="B172" s="22"/>
      <c r="G172" s="22"/>
    </row>
    <row r="173" spans="2:7" x14ac:dyDescent="0.25">
      <c r="B173" s="22"/>
      <c r="G173" s="22"/>
    </row>
    <row r="174" spans="2:7" x14ac:dyDescent="0.25">
      <c r="B174" s="22"/>
      <c r="G174" s="22"/>
    </row>
    <row r="175" spans="2:7" x14ac:dyDescent="0.25">
      <c r="B175" s="22"/>
      <c r="G175" s="22"/>
    </row>
    <row r="176" spans="2:7" x14ac:dyDescent="0.25">
      <c r="B176" s="22"/>
      <c r="G176" s="22"/>
    </row>
    <row r="177" spans="2:7" x14ac:dyDescent="0.25">
      <c r="B177" s="22"/>
      <c r="G177" s="22"/>
    </row>
    <row r="178" spans="2:7" x14ac:dyDescent="0.25">
      <c r="B178" s="22"/>
      <c r="G178" s="22"/>
    </row>
    <row r="179" spans="2:7" x14ac:dyDescent="0.25">
      <c r="B179" s="22"/>
      <c r="G179" s="22"/>
    </row>
    <row r="180" spans="2:7" x14ac:dyDescent="0.25">
      <c r="B180" s="22"/>
      <c r="G180" s="22"/>
    </row>
    <row r="181" spans="2:7" x14ac:dyDescent="0.25">
      <c r="B181" s="22"/>
      <c r="G181" s="22"/>
    </row>
    <row r="182" spans="2:7" x14ac:dyDescent="0.25">
      <c r="B182" s="22"/>
      <c r="G182" s="22"/>
    </row>
    <row r="183" spans="2:7" x14ac:dyDescent="0.25">
      <c r="B183" s="22"/>
      <c r="G183" s="22"/>
    </row>
    <row r="184" spans="2:7" x14ac:dyDescent="0.25">
      <c r="B184" s="22"/>
      <c r="G184" s="22"/>
    </row>
    <row r="185" spans="2:7" x14ac:dyDescent="0.25">
      <c r="B185" s="22"/>
      <c r="G185" s="22"/>
    </row>
    <row r="186" spans="2:7" x14ac:dyDescent="0.25">
      <c r="B186" s="22"/>
      <c r="G186" s="22"/>
    </row>
    <row r="187" spans="2:7" x14ac:dyDescent="0.25">
      <c r="B187" s="22"/>
      <c r="G187" s="22"/>
    </row>
    <row r="188" spans="2:7" x14ac:dyDescent="0.25">
      <c r="B188" s="22"/>
      <c r="G188" s="22"/>
    </row>
    <row r="189" spans="2:7" x14ac:dyDescent="0.25">
      <c r="B189" s="22"/>
      <c r="G189" s="22"/>
    </row>
    <row r="190" spans="2:7" x14ac:dyDescent="0.25">
      <c r="B190" s="22"/>
      <c r="G190" s="22"/>
    </row>
    <row r="191" spans="2:7" x14ac:dyDescent="0.25">
      <c r="B191" s="22"/>
      <c r="G191" s="22"/>
    </row>
    <row r="192" spans="2:7" x14ac:dyDescent="0.25">
      <c r="B192" s="22"/>
      <c r="G192" s="22"/>
    </row>
    <row r="193" spans="2:7" x14ac:dyDescent="0.25">
      <c r="B193" s="22"/>
      <c r="G193" s="22"/>
    </row>
    <row r="194" spans="2:7" x14ac:dyDescent="0.25">
      <c r="B194" s="22"/>
      <c r="G194" s="22"/>
    </row>
    <row r="195" spans="2:7" x14ac:dyDescent="0.25">
      <c r="B195" s="22"/>
      <c r="G195" s="22"/>
    </row>
    <row r="196" spans="2:7" x14ac:dyDescent="0.25">
      <c r="B196" s="22"/>
      <c r="G196" s="22"/>
    </row>
    <row r="197" spans="2:7" x14ac:dyDescent="0.25">
      <c r="B197" s="22"/>
      <c r="G197" s="22"/>
    </row>
    <row r="198" spans="2:7" x14ac:dyDescent="0.25">
      <c r="B198" s="22"/>
      <c r="G198" s="22"/>
    </row>
    <row r="199" spans="2:7" x14ac:dyDescent="0.25">
      <c r="B199" s="22"/>
      <c r="G199" s="22"/>
    </row>
    <row r="200" spans="2:7" x14ac:dyDescent="0.25">
      <c r="B200" s="22"/>
      <c r="G200" s="22"/>
    </row>
  </sheetData>
  <mergeCells count="2">
    <mergeCell ref="A1:H1"/>
    <mergeCell ref="A2:H2"/>
  </mergeCells>
  <conditionalFormatting sqref="C5:C10">
    <cfRule type="expression" dxfId="11" priority="1">
      <formula>C5="Pendiente"</formula>
    </cfRule>
    <cfRule type="expression" dxfId="10" priority="2">
      <formula>C5="En curso"</formula>
    </cfRule>
    <cfRule type="expression" dxfId="9" priority="3">
      <formula>C5="Bloqueado"</formula>
    </cfRule>
    <cfRule type="expression" dxfId="8" priority="4">
      <formula>C5="Por validar"</formula>
    </cfRule>
    <cfRule type="expression" dxfId="7" priority="5">
      <formula>C5="Resuelto"</formula>
    </cfRule>
    <cfRule type="expression" dxfId="6" priority="6">
      <formula>C5="Descartado"</formula>
    </cfRule>
  </conditionalFormatting>
  <dataValidations count="2">
    <dataValidation type="list" sqref="C5:C200" xr:uid="{00000000-0002-0000-1A00-000000000000}">
      <formula1>"Pendiente,En curso,Bloqueado,Por validar,Resuelto,Descartado"</formula1>
    </dataValidation>
    <dataValidation type="list" sqref="D5:D200" xr:uid="{00000000-0002-0000-1A00-000001000000}">
      <formula1>"Alta,Media,Baja"</formula1>
    </dataValidation>
  </dataValidations>
  <hyperlinks>
    <hyperlink ref="J1" location="'Indice'!A1" display="↩ Índice" xr:uid="{00000000-0004-0000-1A00-000000000000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200"/>
  <sheetViews>
    <sheetView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1" width="18" customWidth="1"/>
    <col min="2" max="2" width="55" customWidth="1"/>
    <col min="3" max="3" width="18" customWidth="1"/>
    <col min="4" max="4" width="14" customWidth="1"/>
    <col min="5" max="5" width="20" customWidth="1"/>
    <col min="6" max="6" width="16" customWidth="1"/>
    <col min="7" max="7" width="72" customWidth="1"/>
    <col min="8" max="8" width="16" customWidth="1"/>
    <col min="9" max="9" width="3" customWidth="1"/>
    <col min="10" max="10" width="12" customWidth="1"/>
  </cols>
  <sheetData>
    <row r="1" spans="1:10" ht="30" customHeight="1" x14ac:dyDescent="0.25">
      <c r="A1" s="55" t="s">
        <v>62</v>
      </c>
      <c r="B1" s="55"/>
      <c r="C1" s="55"/>
      <c r="D1" s="55"/>
      <c r="E1" s="55"/>
      <c r="F1" s="55"/>
      <c r="G1" s="55"/>
      <c r="H1" s="55"/>
      <c r="J1" s="29" t="s">
        <v>96</v>
      </c>
    </row>
    <row r="2" spans="1:10" ht="30" customHeight="1" x14ac:dyDescent="0.25">
      <c r="A2" s="37" t="s">
        <v>469</v>
      </c>
      <c r="B2" s="37"/>
      <c r="C2" s="37"/>
      <c r="D2" s="37"/>
      <c r="E2" s="37"/>
      <c r="F2" s="37"/>
      <c r="G2" s="37"/>
      <c r="H2" s="37"/>
    </row>
    <row r="4" spans="1:10" ht="30" customHeight="1" x14ac:dyDescent="0.25">
      <c r="A4" s="34" t="s">
        <v>149</v>
      </c>
      <c r="B4" s="34" t="s">
        <v>150</v>
      </c>
      <c r="C4" s="34" t="s">
        <v>68</v>
      </c>
      <c r="D4" s="34" t="s">
        <v>151</v>
      </c>
      <c r="E4" s="34" t="s">
        <v>152</v>
      </c>
      <c r="F4" s="34" t="s">
        <v>153</v>
      </c>
      <c r="G4" s="34" t="s">
        <v>154</v>
      </c>
      <c r="H4" s="34" t="s">
        <v>155</v>
      </c>
      <c r="I4" s="22"/>
      <c r="J4" s="22"/>
    </row>
    <row r="5" spans="1:10" ht="15" customHeight="1" x14ac:dyDescent="0.25">
      <c r="A5" s="35" t="s">
        <v>563</v>
      </c>
      <c r="B5" s="35" t="s">
        <v>564</v>
      </c>
      <c r="C5" s="35" t="s">
        <v>75</v>
      </c>
      <c r="D5" s="35" t="s">
        <v>158</v>
      </c>
      <c r="E5" s="35" t="s">
        <v>565</v>
      </c>
      <c r="F5" s="35">
        <v>3</v>
      </c>
      <c r="G5" s="35" t="s">
        <v>566</v>
      </c>
      <c r="H5" s="35"/>
      <c r="I5" s="28"/>
      <c r="J5" s="28"/>
    </row>
    <row r="6" spans="1:10" ht="26.45" customHeight="1" x14ac:dyDescent="0.25">
      <c r="A6" s="36" t="s">
        <v>567</v>
      </c>
      <c r="B6" s="36" t="s">
        <v>568</v>
      </c>
      <c r="C6" s="36" t="s">
        <v>75</v>
      </c>
      <c r="D6" s="36" t="s">
        <v>158</v>
      </c>
      <c r="E6" s="36" t="s">
        <v>472</v>
      </c>
      <c r="F6" s="36">
        <v>6</v>
      </c>
      <c r="G6" s="36" t="s">
        <v>569</v>
      </c>
      <c r="H6" s="36"/>
      <c r="I6" s="28"/>
      <c r="J6" s="28"/>
    </row>
    <row r="7" spans="1:10" ht="26.45" customHeight="1" x14ac:dyDescent="0.25">
      <c r="A7" s="35" t="s">
        <v>570</v>
      </c>
      <c r="B7" s="35" t="s">
        <v>571</v>
      </c>
      <c r="C7" s="35" t="s">
        <v>75</v>
      </c>
      <c r="D7" s="35" t="s">
        <v>163</v>
      </c>
      <c r="E7" s="35" t="s">
        <v>480</v>
      </c>
      <c r="F7" s="35">
        <v>5</v>
      </c>
      <c r="G7" s="35" t="s">
        <v>572</v>
      </c>
      <c r="H7" s="35"/>
      <c r="I7" s="28"/>
      <c r="J7" s="28"/>
    </row>
    <row r="8" spans="1:10" ht="26.45" customHeight="1" x14ac:dyDescent="0.25">
      <c r="A8" s="36" t="s">
        <v>573</v>
      </c>
      <c r="B8" s="36" t="s">
        <v>574</v>
      </c>
      <c r="C8" s="36" t="s">
        <v>75</v>
      </c>
      <c r="D8" s="36" t="s">
        <v>158</v>
      </c>
      <c r="E8" s="36" t="s">
        <v>575</v>
      </c>
      <c r="F8" s="36">
        <v>8</v>
      </c>
      <c r="G8" s="36" t="s">
        <v>576</v>
      </c>
      <c r="H8" s="36"/>
      <c r="I8" s="28"/>
      <c r="J8" s="28"/>
    </row>
    <row r="9" spans="1:10" ht="26.45" customHeight="1" x14ac:dyDescent="0.25">
      <c r="A9" s="35" t="s">
        <v>577</v>
      </c>
      <c r="B9" s="35" t="s">
        <v>578</v>
      </c>
      <c r="C9" s="35" t="s">
        <v>75</v>
      </c>
      <c r="D9" s="35" t="s">
        <v>158</v>
      </c>
      <c r="E9" s="35" t="s">
        <v>579</v>
      </c>
      <c r="F9" s="35">
        <v>6</v>
      </c>
      <c r="G9" s="35" t="s">
        <v>580</v>
      </c>
      <c r="H9" s="35"/>
      <c r="I9" s="28"/>
      <c r="J9" s="28"/>
    </row>
    <row r="10" spans="1:10" ht="26.45" customHeight="1" x14ac:dyDescent="0.25">
      <c r="A10" s="36" t="s">
        <v>581</v>
      </c>
      <c r="B10" s="36" t="s">
        <v>582</v>
      </c>
      <c r="C10" s="36" t="s">
        <v>75</v>
      </c>
      <c r="D10" s="36" t="s">
        <v>163</v>
      </c>
      <c r="E10" s="36" t="s">
        <v>527</v>
      </c>
      <c r="F10" s="36">
        <v>6</v>
      </c>
      <c r="G10" s="36" t="s">
        <v>583</v>
      </c>
      <c r="H10" s="36"/>
      <c r="I10" s="28"/>
      <c r="J10" s="28"/>
    </row>
    <row r="11" spans="1:10" ht="26.45" customHeight="1" x14ac:dyDescent="0.25">
      <c r="A11" s="32" t="s">
        <v>584</v>
      </c>
      <c r="B11" s="32" t="s">
        <v>585</v>
      </c>
      <c r="C11" s="32" t="s">
        <v>72</v>
      </c>
      <c r="D11" s="32" t="s">
        <v>163</v>
      </c>
      <c r="E11" s="32" t="s">
        <v>586</v>
      </c>
      <c r="F11" s="32">
        <v>6</v>
      </c>
      <c r="G11" s="32" t="s">
        <v>587</v>
      </c>
      <c r="H11" s="32"/>
      <c r="I11" s="28"/>
      <c r="J11" s="28"/>
    </row>
    <row r="12" spans="1:10" x14ac:dyDescent="0.25">
      <c r="B12" s="22"/>
      <c r="G12" s="22"/>
    </row>
    <row r="13" spans="1:10" x14ac:dyDescent="0.25">
      <c r="B13" s="22"/>
      <c r="G13" s="22"/>
    </row>
    <row r="14" spans="1:10" x14ac:dyDescent="0.25">
      <c r="B14" s="22"/>
      <c r="G14" s="22"/>
    </row>
    <row r="15" spans="1:10" x14ac:dyDescent="0.25">
      <c r="B15" s="22"/>
      <c r="G15" s="22"/>
    </row>
    <row r="16" spans="1:10" x14ac:dyDescent="0.25">
      <c r="B16" s="22"/>
      <c r="G16" s="22"/>
    </row>
    <row r="17" spans="2:7" x14ac:dyDescent="0.25">
      <c r="B17" s="22"/>
      <c r="G17" s="22"/>
    </row>
    <row r="18" spans="2:7" x14ac:dyDescent="0.25">
      <c r="B18" s="22"/>
      <c r="G18" s="22"/>
    </row>
    <row r="19" spans="2:7" x14ac:dyDescent="0.25">
      <c r="B19" s="22"/>
      <c r="G19" s="22"/>
    </row>
    <row r="20" spans="2:7" x14ac:dyDescent="0.25">
      <c r="B20" s="22"/>
      <c r="G20" s="22"/>
    </row>
    <row r="21" spans="2:7" x14ac:dyDescent="0.25">
      <c r="B21" s="22"/>
      <c r="G21" s="22"/>
    </row>
    <row r="22" spans="2:7" x14ac:dyDescent="0.25">
      <c r="B22" s="22"/>
      <c r="G22" s="22"/>
    </row>
    <row r="23" spans="2:7" x14ac:dyDescent="0.25">
      <c r="B23" s="22"/>
      <c r="G23" s="22"/>
    </row>
    <row r="24" spans="2:7" x14ac:dyDescent="0.25">
      <c r="B24" s="22"/>
      <c r="G24" s="22"/>
    </row>
    <row r="25" spans="2:7" x14ac:dyDescent="0.25">
      <c r="B25" s="22"/>
      <c r="G25" s="22"/>
    </row>
    <row r="26" spans="2:7" x14ac:dyDescent="0.25">
      <c r="B26" s="22"/>
      <c r="G26" s="22"/>
    </row>
    <row r="27" spans="2:7" x14ac:dyDescent="0.25">
      <c r="B27" s="22"/>
      <c r="G27" s="22"/>
    </row>
    <row r="28" spans="2:7" x14ac:dyDescent="0.25">
      <c r="B28" s="22"/>
      <c r="G28" s="22"/>
    </row>
    <row r="29" spans="2:7" x14ac:dyDescent="0.25">
      <c r="B29" s="22"/>
      <c r="G29" s="22"/>
    </row>
    <row r="30" spans="2:7" x14ac:dyDescent="0.25">
      <c r="B30" s="22"/>
      <c r="G30" s="22"/>
    </row>
    <row r="31" spans="2:7" x14ac:dyDescent="0.25">
      <c r="B31" s="22"/>
      <c r="G31" s="22"/>
    </row>
    <row r="32" spans="2:7" x14ac:dyDescent="0.25">
      <c r="B32" s="22"/>
      <c r="G32" s="22"/>
    </row>
    <row r="33" spans="2:7" x14ac:dyDescent="0.25">
      <c r="B33" s="22"/>
      <c r="G33" s="22"/>
    </row>
    <row r="34" spans="2:7" x14ac:dyDescent="0.25">
      <c r="B34" s="22"/>
      <c r="G34" s="22"/>
    </row>
    <row r="35" spans="2:7" x14ac:dyDescent="0.25">
      <c r="B35" s="22"/>
      <c r="G35" s="22"/>
    </row>
    <row r="36" spans="2:7" x14ac:dyDescent="0.25">
      <c r="B36" s="22"/>
      <c r="G36" s="22"/>
    </row>
    <row r="37" spans="2:7" x14ac:dyDescent="0.25">
      <c r="B37" s="22"/>
      <c r="G37" s="22"/>
    </row>
    <row r="38" spans="2:7" x14ac:dyDescent="0.25">
      <c r="B38" s="22"/>
      <c r="G38" s="22"/>
    </row>
    <row r="39" spans="2:7" x14ac:dyDescent="0.25">
      <c r="B39" s="22"/>
      <c r="G39" s="22"/>
    </row>
    <row r="40" spans="2:7" x14ac:dyDescent="0.25">
      <c r="B40" s="22"/>
      <c r="G40" s="22"/>
    </row>
    <row r="41" spans="2:7" x14ac:dyDescent="0.25">
      <c r="B41" s="22"/>
      <c r="G41" s="22"/>
    </row>
    <row r="42" spans="2:7" x14ac:dyDescent="0.25">
      <c r="B42" s="22"/>
      <c r="G42" s="22"/>
    </row>
    <row r="43" spans="2:7" x14ac:dyDescent="0.25">
      <c r="B43" s="22"/>
      <c r="G43" s="22"/>
    </row>
    <row r="44" spans="2:7" x14ac:dyDescent="0.25">
      <c r="B44" s="22"/>
      <c r="G44" s="22"/>
    </row>
    <row r="45" spans="2:7" x14ac:dyDescent="0.25">
      <c r="B45" s="22"/>
      <c r="G45" s="22"/>
    </row>
    <row r="46" spans="2:7" x14ac:dyDescent="0.25">
      <c r="B46" s="22"/>
      <c r="G46" s="22"/>
    </row>
    <row r="47" spans="2:7" x14ac:dyDescent="0.25">
      <c r="B47" s="22"/>
      <c r="G47" s="22"/>
    </row>
    <row r="48" spans="2:7" x14ac:dyDescent="0.25">
      <c r="B48" s="22"/>
      <c r="G48" s="22"/>
    </row>
    <row r="49" spans="2:7" x14ac:dyDescent="0.25">
      <c r="B49" s="22"/>
      <c r="G49" s="22"/>
    </row>
    <row r="50" spans="2:7" x14ac:dyDescent="0.25">
      <c r="B50" s="22"/>
      <c r="G50" s="22"/>
    </row>
    <row r="51" spans="2:7" x14ac:dyDescent="0.25">
      <c r="B51" s="22"/>
      <c r="G51" s="22"/>
    </row>
    <row r="52" spans="2:7" x14ac:dyDescent="0.25">
      <c r="B52" s="22"/>
      <c r="G52" s="22"/>
    </row>
    <row r="53" spans="2:7" x14ac:dyDescent="0.25">
      <c r="B53" s="22"/>
      <c r="G53" s="22"/>
    </row>
    <row r="54" spans="2:7" x14ac:dyDescent="0.25">
      <c r="B54" s="22"/>
      <c r="G54" s="22"/>
    </row>
    <row r="55" spans="2:7" x14ac:dyDescent="0.25">
      <c r="B55" s="22"/>
      <c r="G55" s="22"/>
    </row>
    <row r="56" spans="2:7" x14ac:dyDescent="0.25">
      <c r="B56" s="22"/>
      <c r="G56" s="22"/>
    </row>
    <row r="57" spans="2:7" x14ac:dyDescent="0.25">
      <c r="B57" s="22"/>
      <c r="G57" s="22"/>
    </row>
    <row r="58" spans="2:7" x14ac:dyDescent="0.25">
      <c r="B58" s="22"/>
      <c r="G58" s="22"/>
    </row>
    <row r="59" spans="2:7" x14ac:dyDescent="0.25">
      <c r="B59" s="22"/>
      <c r="G59" s="22"/>
    </row>
    <row r="60" spans="2:7" x14ac:dyDescent="0.25">
      <c r="B60" s="22"/>
      <c r="G60" s="22"/>
    </row>
    <row r="61" spans="2:7" x14ac:dyDescent="0.25">
      <c r="B61" s="22"/>
      <c r="G61" s="22"/>
    </row>
    <row r="62" spans="2:7" x14ac:dyDescent="0.25">
      <c r="B62" s="22"/>
      <c r="G62" s="22"/>
    </row>
    <row r="63" spans="2:7" x14ac:dyDescent="0.25">
      <c r="B63" s="22"/>
      <c r="G63" s="22"/>
    </row>
    <row r="64" spans="2:7" x14ac:dyDescent="0.25">
      <c r="B64" s="22"/>
      <c r="G64" s="22"/>
    </row>
    <row r="65" spans="2:7" x14ac:dyDescent="0.25">
      <c r="B65" s="22"/>
      <c r="G65" s="22"/>
    </row>
    <row r="66" spans="2:7" x14ac:dyDescent="0.25">
      <c r="B66" s="22"/>
      <c r="G66" s="22"/>
    </row>
    <row r="67" spans="2:7" x14ac:dyDescent="0.25">
      <c r="B67" s="22"/>
      <c r="G67" s="22"/>
    </row>
    <row r="68" spans="2:7" x14ac:dyDescent="0.25">
      <c r="B68" s="22"/>
      <c r="G68" s="22"/>
    </row>
    <row r="69" spans="2:7" x14ac:dyDescent="0.25">
      <c r="B69" s="22"/>
      <c r="G69" s="22"/>
    </row>
    <row r="70" spans="2:7" x14ac:dyDescent="0.25">
      <c r="B70" s="22"/>
      <c r="G70" s="22"/>
    </row>
    <row r="71" spans="2:7" x14ac:dyDescent="0.25">
      <c r="B71" s="22"/>
      <c r="G71" s="22"/>
    </row>
    <row r="72" spans="2:7" x14ac:dyDescent="0.25">
      <c r="B72" s="22"/>
      <c r="G72" s="22"/>
    </row>
    <row r="73" spans="2:7" x14ac:dyDescent="0.25">
      <c r="B73" s="22"/>
      <c r="G73" s="22"/>
    </row>
    <row r="74" spans="2:7" x14ac:dyDescent="0.25">
      <c r="B74" s="22"/>
      <c r="G74" s="22"/>
    </row>
    <row r="75" spans="2:7" x14ac:dyDescent="0.25">
      <c r="B75" s="22"/>
      <c r="G75" s="22"/>
    </row>
    <row r="76" spans="2:7" x14ac:dyDescent="0.25">
      <c r="B76" s="22"/>
      <c r="G76" s="22"/>
    </row>
    <row r="77" spans="2:7" x14ac:dyDescent="0.25">
      <c r="B77" s="22"/>
      <c r="G77" s="22"/>
    </row>
    <row r="78" spans="2:7" x14ac:dyDescent="0.25">
      <c r="B78" s="22"/>
      <c r="G78" s="22"/>
    </row>
    <row r="79" spans="2:7" x14ac:dyDescent="0.25">
      <c r="B79" s="22"/>
      <c r="G79" s="22"/>
    </row>
    <row r="80" spans="2:7" x14ac:dyDescent="0.25">
      <c r="B80" s="22"/>
      <c r="G80" s="22"/>
    </row>
    <row r="81" spans="2:7" x14ac:dyDescent="0.25">
      <c r="B81" s="22"/>
      <c r="G81" s="22"/>
    </row>
    <row r="82" spans="2:7" x14ac:dyDescent="0.25">
      <c r="B82" s="22"/>
      <c r="G82" s="22"/>
    </row>
    <row r="83" spans="2:7" x14ac:dyDescent="0.25">
      <c r="B83" s="22"/>
      <c r="G83" s="22"/>
    </row>
    <row r="84" spans="2:7" x14ac:dyDescent="0.25">
      <c r="B84" s="22"/>
      <c r="G84" s="22"/>
    </row>
    <row r="85" spans="2:7" x14ac:dyDescent="0.25">
      <c r="B85" s="22"/>
      <c r="G85" s="22"/>
    </row>
    <row r="86" spans="2:7" x14ac:dyDescent="0.25">
      <c r="B86" s="22"/>
      <c r="G86" s="22"/>
    </row>
    <row r="87" spans="2:7" x14ac:dyDescent="0.25">
      <c r="B87" s="22"/>
      <c r="G87" s="22"/>
    </row>
    <row r="88" spans="2:7" x14ac:dyDescent="0.25">
      <c r="B88" s="22"/>
      <c r="G88" s="22"/>
    </row>
    <row r="89" spans="2:7" x14ac:dyDescent="0.25">
      <c r="B89" s="22"/>
      <c r="G89" s="22"/>
    </row>
    <row r="90" spans="2:7" x14ac:dyDescent="0.25">
      <c r="B90" s="22"/>
      <c r="G90" s="22"/>
    </row>
    <row r="91" spans="2:7" x14ac:dyDescent="0.25">
      <c r="B91" s="22"/>
      <c r="G91" s="22"/>
    </row>
    <row r="92" spans="2:7" x14ac:dyDescent="0.25">
      <c r="B92" s="22"/>
      <c r="G92" s="22"/>
    </row>
    <row r="93" spans="2:7" x14ac:dyDescent="0.25">
      <c r="B93" s="22"/>
      <c r="G93" s="22"/>
    </row>
    <row r="94" spans="2:7" x14ac:dyDescent="0.25">
      <c r="B94" s="22"/>
      <c r="G94" s="22"/>
    </row>
    <row r="95" spans="2:7" x14ac:dyDescent="0.25">
      <c r="B95" s="22"/>
      <c r="G95" s="22"/>
    </row>
    <row r="96" spans="2:7" x14ac:dyDescent="0.25">
      <c r="B96" s="22"/>
      <c r="G96" s="22"/>
    </row>
    <row r="97" spans="2:7" x14ac:dyDescent="0.25">
      <c r="B97" s="22"/>
      <c r="G97" s="22"/>
    </row>
    <row r="98" spans="2:7" x14ac:dyDescent="0.25">
      <c r="B98" s="22"/>
      <c r="G98" s="22"/>
    </row>
    <row r="99" spans="2:7" x14ac:dyDescent="0.25">
      <c r="B99" s="22"/>
      <c r="G99" s="22"/>
    </row>
    <row r="100" spans="2:7" x14ac:dyDescent="0.25">
      <c r="B100" s="22"/>
      <c r="G100" s="22"/>
    </row>
    <row r="101" spans="2:7" x14ac:dyDescent="0.25">
      <c r="B101" s="22"/>
      <c r="G101" s="22"/>
    </row>
    <row r="102" spans="2:7" x14ac:dyDescent="0.25">
      <c r="B102" s="22"/>
      <c r="G102" s="22"/>
    </row>
    <row r="103" spans="2:7" x14ac:dyDescent="0.25">
      <c r="B103" s="22"/>
      <c r="G103" s="22"/>
    </row>
    <row r="104" spans="2:7" x14ac:dyDescent="0.25">
      <c r="B104" s="22"/>
      <c r="G104" s="22"/>
    </row>
    <row r="105" spans="2:7" x14ac:dyDescent="0.25">
      <c r="B105" s="22"/>
      <c r="G105" s="22"/>
    </row>
    <row r="106" spans="2:7" x14ac:dyDescent="0.25">
      <c r="B106" s="22"/>
      <c r="G106" s="22"/>
    </row>
    <row r="107" spans="2:7" x14ac:dyDescent="0.25">
      <c r="B107" s="22"/>
      <c r="G107" s="22"/>
    </row>
    <row r="108" spans="2:7" x14ac:dyDescent="0.25">
      <c r="B108" s="22"/>
      <c r="G108" s="22"/>
    </row>
    <row r="109" spans="2:7" x14ac:dyDescent="0.25">
      <c r="B109" s="22"/>
      <c r="G109" s="22"/>
    </row>
    <row r="110" spans="2:7" x14ac:dyDescent="0.25">
      <c r="B110" s="22"/>
      <c r="G110" s="22"/>
    </row>
    <row r="111" spans="2:7" x14ac:dyDescent="0.25">
      <c r="B111" s="22"/>
      <c r="G111" s="22"/>
    </row>
    <row r="112" spans="2:7" x14ac:dyDescent="0.25">
      <c r="B112" s="22"/>
      <c r="G112" s="22"/>
    </row>
    <row r="113" spans="2:7" x14ac:dyDescent="0.25">
      <c r="B113" s="22"/>
      <c r="G113" s="22"/>
    </row>
    <row r="114" spans="2:7" x14ac:dyDescent="0.25">
      <c r="B114" s="22"/>
      <c r="G114" s="22"/>
    </row>
    <row r="115" spans="2:7" x14ac:dyDescent="0.25">
      <c r="B115" s="22"/>
      <c r="G115" s="22"/>
    </row>
    <row r="116" spans="2:7" x14ac:dyDescent="0.25">
      <c r="B116" s="22"/>
      <c r="G116" s="22"/>
    </row>
    <row r="117" spans="2:7" x14ac:dyDescent="0.25">
      <c r="B117" s="22"/>
      <c r="G117" s="22"/>
    </row>
    <row r="118" spans="2:7" x14ac:dyDescent="0.25">
      <c r="B118" s="22"/>
      <c r="G118" s="22"/>
    </row>
    <row r="119" spans="2:7" x14ac:dyDescent="0.25">
      <c r="B119" s="22"/>
      <c r="G119" s="22"/>
    </row>
    <row r="120" spans="2:7" x14ac:dyDescent="0.25">
      <c r="B120" s="22"/>
      <c r="G120" s="22"/>
    </row>
    <row r="121" spans="2:7" x14ac:dyDescent="0.25">
      <c r="B121" s="22"/>
      <c r="G121" s="22"/>
    </row>
    <row r="122" spans="2:7" x14ac:dyDescent="0.25">
      <c r="B122" s="22"/>
      <c r="G122" s="22"/>
    </row>
    <row r="123" spans="2:7" x14ac:dyDescent="0.25">
      <c r="B123" s="22"/>
      <c r="G123" s="22"/>
    </row>
    <row r="124" spans="2:7" x14ac:dyDescent="0.25">
      <c r="B124" s="22"/>
      <c r="G124" s="22"/>
    </row>
    <row r="125" spans="2:7" x14ac:dyDescent="0.25">
      <c r="B125" s="22"/>
      <c r="G125" s="22"/>
    </row>
    <row r="126" spans="2:7" x14ac:dyDescent="0.25">
      <c r="B126" s="22"/>
      <c r="G126" s="22"/>
    </row>
    <row r="127" spans="2:7" x14ac:dyDescent="0.25">
      <c r="B127" s="22"/>
      <c r="G127" s="22"/>
    </row>
    <row r="128" spans="2:7" x14ac:dyDescent="0.25">
      <c r="B128" s="22"/>
      <c r="G128" s="22"/>
    </row>
    <row r="129" spans="2:7" x14ac:dyDescent="0.25">
      <c r="B129" s="22"/>
      <c r="G129" s="22"/>
    </row>
    <row r="130" spans="2:7" x14ac:dyDescent="0.25">
      <c r="B130" s="22"/>
      <c r="G130" s="22"/>
    </row>
    <row r="131" spans="2:7" x14ac:dyDescent="0.25">
      <c r="B131" s="22"/>
      <c r="G131" s="22"/>
    </row>
    <row r="132" spans="2:7" x14ac:dyDescent="0.25">
      <c r="B132" s="22"/>
      <c r="G132" s="22"/>
    </row>
    <row r="133" spans="2:7" x14ac:dyDescent="0.25">
      <c r="B133" s="22"/>
      <c r="G133" s="22"/>
    </row>
    <row r="134" spans="2:7" x14ac:dyDescent="0.25">
      <c r="B134" s="22"/>
      <c r="G134" s="22"/>
    </row>
    <row r="135" spans="2:7" x14ac:dyDescent="0.25">
      <c r="B135" s="22"/>
      <c r="G135" s="22"/>
    </row>
    <row r="136" spans="2:7" x14ac:dyDescent="0.25">
      <c r="B136" s="22"/>
      <c r="G136" s="22"/>
    </row>
    <row r="137" spans="2:7" x14ac:dyDescent="0.25">
      <c r="B137" s="22"/>
      <c r="G137" s="22"/>
    </row>
    <row r="138" spans="2:7" x14ac:dyDescent="0.25">
      <c r="B138" s="22"/>
      <c r="G138" s="22"/>
    </row>
    <row r="139" spans="2:7" x14ac:dyDescent="0.25">
      <c r="B139" s="22"/>
      <c r="G139" s="22"/>
    </row>
    <row r="140" spans="2:7" x14ac:dyDescent="0.25">
      <c r="B140" s="22"/>
      <c r="G140" s="22"/>
    </row>
    <row r="141" spans="2:7" x14ac:dyDescent="0.25">
      <c r="B141" s="22"/>
      <c r="G141" s="22"/>
    </row>
    <row r="142" spans="2:7" x14ac:dyDescent="0.25">
      <c r="B142" s="22"/>
      <c r="G142" s="22"/>
    </row>
    <row r="143" spans="2:7" x14ac:dyDescent="0.25">
      <c r="B143" s="22"/>
      <c r="G143" s="22"/>
    </row>
    <row r="144" spans="2:7" x14ac:dyDescent="0.25">
      <c r="B144" s="22"/>
      <c r="G144" s="22"/>
    </row>
    <row r="145" spans="2:7" x14ac:dyDescent="0.25">
      <c r="B145" s="22"/>
      <c r="G145" s="22"/>
    </row>
    <row r="146" spans="2:7" x14ac:dyDescent="0.25">
      <c r="B146" s="22"/>
      <c r="G146" s="22"/>
    </row>
    <row r="147" spans="2:7" x14ac:dyDescent="0.25">
      <c r="B147" s="22"/>
      <c r="G147" s="22"/>
    </row>
    <row r="148" spans="2:7" x14ac:dyDescent="0.25">
      <c r="B148" s="22"/>
      <c r="G148" s="22"/>
    </row>
    <row r="149" spans="2:7" x14ac:dyDescent="0.25">
      <c r="B149" s="22"/>
      <c r="G149" s="22"/>
    </row>
    <row r="150" spans="2:7" x14ac:dyDescent="0.25">
      <c r="B150" s="22"/>
      <c r="G150" s="22"/>
    </row>
    <row r="151" spans="2:7" x14ac:dyDescent="0.25">
      <c r="B151" s="22"/>
      <c r="G151" s="22"/>
    </row>
    <row r="152" spans="2:7" x14ac:dyDescent="0.25">
      <c r="B152" s="22"/>
      <c r="G152" s="22"/>
    </row>
    <row r="153" spans="2:7" x14ac:dyDescent="0.25">
      <c r="B153" s="22"/>
      <c r="G153" s="22"/>
    </row>
    <row r="154" spans="2:7" x14ac:dyDescent="0.25">
      <c r="B154" s="22"/>
      <c r="G154" s="22"/>
    </row>
    <row r="155" spans="2:7" x14ac:dyDescent="0.25">
      <c r="B155" s="22"/>
      <c r="G155" s="22"/>
    </row>
    <row r="156" spans="2:7" x14ac:dyDescent="0.25">
      <c r="B156" s="22"/>
      <c r="G156" s="22"/>
    </row>
    <row r="157" spans="2:7" x14ac:dyDescent="0.25">
      <c r="B157" s="22"/>
      <c r="G157" s="22"/>
    </row>
    <row r="158" spans="2:7" x14ac:dyDescent="0.25">
      <c r="B158" s="22"/>
      <c r="G158" s="22"/>
    </row>
    <row r="159" spans="2:7" x14ac:dyDescent="0.25">
      <c r="B159" s="22"/>
      <c r="G159" s="22"/>
    </row>
    <row r="160" spans="2:7" x14ac:dyDescent="0.25">
      <c r="B160" s="22"/>
      <c r="G160" s="22"/>
    </row>
    <row r="161" spans="2:7" x14ac:dyDescent="0.25">
      <c r="B161" s="22"/>
      <c r="G161" s="22"/>
    </row>
    <row r="162" spans="2:7" x14ac:dyDescent="0.25">
      <c r="B162" s="22"/>
      <c r="G162" s="22"/>
    </row>
    <row r="163" spans="2:7" x14ac:dyDescent="0.25">
      <c r="B163" s="22"/>
      <c r="G163" s="22"/>
    </row>
    <row r="164" spans="2:7" x14ac:dyDescent="0.25">
      <c r="B164" s="22"/>
      <c r="G164" s="22"/>
    </row>
    <row r="165" spans="2:7" x14ac:dyDescent="0.25">
      <c r="B165" s="22"/>
      <c r="G165" s="22"/>
    </row>
    <row r="166" spans="2:7" x14ac:dyDescent="0.25">
      <c r="B166" s="22"/>
      <c r="G166" s="22"/>
    </row>
    <row r="167" spans="2:7" x14ac:dyDescent="0.25">
      <c r="B167" s="22"/>
      <c r="G167" s="22"/>
    </row>
    <row r="168" spans="2:7" x14ac:dyDescent="0.25">
      <c r="B168" s="22"/>
      <c r="G168" s="22"/>
    </row>
    <row r="169" spans="2:7" x14ac:dyDescent="0.25">
      <c r="B169" s="22"/>
      <c r="G169" s="22"/>
    </row>
    <row r="170" spans="2:7" x14ac:dyDescent="0.25">
      <c r="B170" s="22"/>
      <c r="G170" s="22"/>
    </row>
    <row r="171" spans="2:7" x14ac:dyDescent="0.25">
      <c r="B171" s="22"/>
      <c r="G171" s="22"/>
    </row>
    <row r="172" spans="2:7" x14ac:dyDescent="0.25">
      <c r="B172" s="22"/>
      <c r="G172" s="22"/>
    </row>
    <row r="173" spans="2:7" x14ac:dyDescent="0.25">
      <c r="B173" s="22"/>
      <c r="G173" s="22"/>
    </row>
    <row r="174" spans="2:7" x14ac:dyDescent="0.25">
      <c r="B174" s="22"/>
      <c r="G174" s="22"/>
    </row>
    <row r="175" spans="2:7" x14ac:dyDescent="0.25">
      <c r="B175" s="22"/>
      <c r="G175" s="22"/>
    </row>
    <row r="176" spans="2:7" x14ac:dyDescent="0.25">
      <c r="B176" s="22"/>
      <c r="G176" s="22"/>
    </row>
    <row r="177" spans="2:7" x14ac:dyDescent="0.25">
      <c r="B177" s="22"/>
      <c r="G177" s="22"/>
    </row>
    <row r="178" spans="2:7" x14ac:dyDescent="0.25">
      <c r="B178" s="22"/>
      <c r="G178" s="22"/>
    </row>
    <row r="179" spans="2:7" x14ac:dyDescent="0.25">
      <c r="B179" s="22"/>
      <c r="G179" s="22"/>
    </row>
    <row r="180" spans="2:7" x14ac:dyDescent="0.25">
      <c r="B180" s="22"/>
      <c r="G180" s="22"/>
    </row>
    <row r="181" spans="2:7" x14ac:dyDescent="0.25">
      <c r="B181" s="22"/>
      <c r="G181" s="22"/>
    </row>
    <row r="182" spans="2:7" x14ac:dyDescent="0.25">
      <c r="B182" s="22"/>
      <c r="G182" s="22"/>
    </row>
    <row r="183" spans="2:7" x14ac:dyDescent="0.25">
      <c r="B183" s="22"/>
      <c r="G183" s="22"/>
    </row>
    <row r="184" spans="2:7" x14ac:dyDescent="0.25">
      <c r="B184" s="22"/>
      <c r="G184" s="22"/>
    </row>
    <row r="185" spans="2:7" x14ac:dyDescent="0.25">
      <c r="B185" s="22"/>
      <c r="G185" s="22"/>
    </row>
    <row r="186" spans="2:7" x14ac:dyDescent="0.25">
      <c r="B186" s="22"/>
      <c r="G186" s="22"/>
    </row>
    <row r="187" spans="2:7" x14ac:dyDescent="0.25">
      <c r="B187" s="22"/>
      <c r="G187" s="22"/>
    </row>
    <row r="188" spans="2:7" x14ac:dyDescent="0.25">
      <c r="B188" s="22"/>
      <c r="G188" s="22"/>
    </row>
    <row r="189" spans="2:7" x14ac:dyDescent="0.25">
      <c r="B189" s="22"/>
      <c r="G189" s="22"/>
    </row>
    <row r="190" spans="2:7" x14ac:dyDescent="0.25">
      <c r="B190" s="22"/>
      <c r="G190" s="22"/>
    </row>
    <row r="191" spans="2:7" x14ac:dyDescent="0.25">
      <c r="B191" s="22"/>
      <c r="G191" s="22"/>
    </row>
    <row r="192" spans="2:7" x14ac:dyDescent="0.25">
      <c r="B192" s="22"/>
      <c r="G192" s="22"/>
    </row>
    <row r="193" spans="2:7" x14ac:dyDescent="0.25">
      <c r="B193" s="22"/>
      <c r="G193" s="22"/>
    </row>
    <row r="194" spans="2:7" x14ac:dyDescent="0.25">
      <c r="B194" s="22"/>
      <c r="G194" s="22"/>
    </row>
    <row r="195" spans="2:7" x14ac:dyDescent="0.25">
      <c r="B195" s="22"/>
      <c r="G195" s="22"/>
    </row>
    <row r="196" spans="2:7" x14ac:dyDescent="0.25">
      <c r="B196" s="22"/>
      <c r="G196" s="22"/>
    </row>
    <row r="197" spans="2:7" x14ac:dyDescent="0.25">
      <c r="B197" s="22"/>
      <c r="G197" s="22"/>
    </row>
    <row r="198" spans="2:7" x14ac:dyDescent="0.25">
      <c r="B198" s="22"/>
      <c r="G198" s="22"/>
    </row>
    <row r="199" spans="2:7" x14ac:dyDescent="0.25">
      <c r="B199" s="22"/>
      <c r="G199" s="22"/>
    </row>
    <row r="200" spans="2:7" x14ac:dyDescent="0.25">
      <c r="B200" s="22"/>
      <c r="G200" s="22"/>
    </row>
  </sheetData>
  <mergeCells count="2">
    <mergeCell ref="A1:H1"/>
    <mergeCell ref="A2:H2"/>
  </mergeCells>
  <conditionalFormatting sqref="C5:C11">
    <cfRule type="expression" dxfId="5" priority="1">
      <formula>C5="Pendiente"</formula>
    </cfRule>
    <cfRule type="expression" dxfId="4" priority="2">
      <formula>C5="En curso"</formula>
    </cfRule>
    <cfRule type="expression" dxfId="3" priority="3">
      <formula>C5="Bloqueado"</formula>
    </cfRule>
    <cfRule type="expression" dxfId="2" priority="4">
      <formula>C5="Por validar"</formula>
    </cfRule>
    <cfRule type="expression" dxfId="1" priority="5">
      <formula>C5="Resuelto"</formula>
    </cfRule>
    <cfRule type="expression" dxfId="0" priority="6">
      <formula>C5="Descartado"</formula>
    </cfRule>
  </conditionalFormatting>
  <dataValidations count="2">
    <dataValidation type="list" sqref="C5:C200" xr:uid="{00000000-0002-0000-1B00-000000000000}">
      <formula1>"Pendiente,En curso,Bloqueado,Por validar,Resuelto,Descartado"</formula1>
    </dataValidation>
    <dataValidation type="list" sqref="D5:D200" xr:uid="{00000000-0002-0000-1B00-000001000000}">
      <formula1>"Alta,Media,Baja"</formula1>
    </dataValidation>
  </dataValidations>
  <hyperlinks>
    <hyperlink ref="J1" location="'Indice'!A1" display="↩ Índice" xr:uid="{00000000-0004-0000-1B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28</vt:i4>
      </vt:variant>
    </vt:vector>
  </HeadingPairs>
  <TitlesOfParts>
    <vt:vector size="28" baseType="lpstr">
      <vt:lpstr>Indice</vt:lpstr>
      <vt:lpstr>Dashboard</vt:lpstr>
      <vt:lpstr>Arquitectura</vt:lpstr>
      <vt:lpstr>Login y Autenticación</vt:lpstr>
      <vt:lpstr>Correo</vt:lpstr>
      <vt:lpstr>Empleados</vt:lpstr>
      <vt:lpstr>Boletines TT</vt:lpstr>
      <vt:lpstr>Turnos</vt:lpstr>
      <vt:lpstr>Fichajes</vt:lpstr>
      <vt:lpstr>Nominas</vt:lpstr>
      <vt:lpstr>Vacaciones y Asuntos Propios</vt:lpstr>
      <vt:lpstr>Absentismo</vt:lpstr>
      <vt:lpstr>Informes y Reporting</vt:lpstr>
      <vt:lpstr>Tratamiento de Adjuntos</vt:lpstr>
      <vt:lpstr>Noticias y Newsletter</vt:lpstr>
      <vt:lpstr>Gobernanza</vt:lpstr>
      <vt:lpstr>Auditorias</vt:lpstr>
      <vt:lpstr>Seguridad</vt:lpstr>
      <vt:lpstr>Preproduccion</vt:lpstr>
      <vt:lpstr>Produccion</vt:lpstr>
      <vt:lpstr>Informe de Costes</vt:lpstr>
      <vt:lpstr>Estimaciones de Horas</vt:lpstr>
      <vt:lpstr>Costes Azure</vt:lpstr>
      <vt:lpstr>Mundo 2D</vt:lpstr>
      <vt:lpstr>Mundo 3D</vt:lpstr>
      <vt:lpstr>Holograma</vt:lpstr>
      <vt:lpstr>mIA-Desktop</vt:lpstr>
      <vt:lpstr>Multiidioma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Enrique Castillo Carrasco</cp:lastModifiedBy>
  <dcterms:modified xsi:type="dcterms:W3CDTF">2026-10-22T13:37:20Z</dcterms:modified>
</cp:coreProperties>
</file>